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1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orron-my.sharepoint.com/personal/jerry_ho_orron_com/Documents/Margin Report/Data/"/>
    </mc:Choice>
  </mc:AlternateContent>
  <xr:revisionPtr revIDLastSave="740" documentId="8_{D23E71DC-2991-4B75-B6A0-5E411C3647ED}" xr6:coauthVersionLast="47" xr6:coauthVersionMax="47" xr10:uidLastSave="{A660CE8A-D9F7-46C1-A831-D24ADA67FD80}"/>
  <bookViews>
    <workbookView xWindow="28680" yWindow="-120" windowWidth="29040" windowHeight="17520" activeTab="3" xr2:uid="{9D1A2099-4710-4FB5-B9DB-CDC44AB06876}"/>
  </bookViews>
  <sheets>
    <sheet name="Wind" sheetId="15" r:id="rId1"/>
    <sheet name="Rain" sheetId="11" r:id="rId2"/>
    <sheet name="Temp" sheetId="13" r:id="rId3"/>
    <sheet name="Sum" sheetId="16" r:id="rId4"/>
    <sheet name="Blank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6" l="1" a="1"/>
  <c r="C6" i="16" s="1"/>
  <c r="C5" i="16" a="1"/>
  <c r="C5" i="16" s="1"/>
  <c r="C4" i="16" a="1"/>
  <c r="C4" i="16" s="1"/>
  <c r="D3" i="16" a="1"/>
  <c r="D3" i="16" s="1"/>
  <c r="D66" i="11"/>
  <c r="E66" i="11"/>
  <c r="F66" i="11"/>
  <c r="G66" i="11"/>
  <c r="H66" i="11"/>
  <c r="I66" i="11"/>
  <c r="J66" i="11"/>
  <c r="K66" i="11"/>
  <c r="L66" i="11"/>
  <c r="M66" i="11"/>
  <c r="N66" i="11"/>
  <c r="O66" i="11"/>
  <c r="O69" i="11"/>
  <c r="N69" i="11"/>
  <c r="M69" i="11"/>
  <c r="L69" i="11"/>
  <c r="K69" i="11"/>
  <c r="J69" i="11"/>
  <c r="I69" i="11"/>
  <c r="H69" i="11"/>
  <c r="G69" i="11"/>
  <c r="F69" i="11"/>
  <c r="E69" i="11"/>
  <c r="D69" i="11"/>
  <c r="O67" i="11"/>
  <c r="N67" i="11"/>
  <c r="M67" i="11"/>
  <c r="L67" i="11"/>
  <c r="K67" i="11"/>
  <c r="J67" i="11"/>
  <c r="I67" i="11"/>
  <c r="H67" i="11"/>
  <c r="G67" i="11"/>
  <c r="F67" i="11"/>
  <c r="E67" i="11"/>
  <c r="D67" i="11"/>
  <c r="O69" i="15"/>
  <c r="N69" i="15"/>
  <c r="M69" i="15"/>
  <c r="L69" i="15"/>
  <c r="K69" i="15"/>
  <c r="J69" i="15"/>
  <c r="J68" i="15" s="1"/>
  <c r="I69" i="15"/>
  <c r="H69" i="15"/>
  <c r="G69" i="15"/>
  <c r="F69" i="15"/>
  <c r="E69" i="15"/>
  <c r="D69" i="15"/>
  <c r="O67" i="15"/>
  <c r="O68" i="15" s="1"/>
  <c r="N67" i="15"/>
  <c r="M67" i="15"/>
  <c r="M68" i="15" s="1"/>
  <c r="L67" i="15"/>
  <c r="K67" i="15"/>
  <c r="J67" i="15"/>
  <c r="I67" i="15"/>
  <c r="H67" i="15"/>
  <c r="G67" i="15"/>
  <c r="F67" i="15"/>
  <c r="E67" i="15"/>
  <c r="E68" i="15" s="1"/>
  <c r="D67" i="15"/>
  <c r="D68" i="15" s="1"/>
  <c r="O66" i="15"/>
  <c r="N66" i="15"/>
  <c r="M66" i="15"/>
  <c r="L66" i="15"/>
  <c r="K66" i="15"/>
  <c r="J66" i="15"/>
  <c r="I66" i="15"/>
  <c r="H66" i="15"/>
  <c r="G66" i="15"/>
  <c r="F66" i="15"/>
  <c r="E66" i="15"/>
  <c r="E70" i="15" s="1"/>
  <c r="D66" i="15"/>
  <c r="D70" i="15" s="1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D5" i="15"/>
  <c r="E5" i="15" s="1"/>
  <c r="F5" i="15" s="1"/>
  <c r="G5" i="15" s="1"/>
  <c r="H5" i="15" s="1"/>
  <c r="I5" i="15" s="1"/>
  <c r="J5" i="15" s="1"/>
  <c r="K5" i="15" s="1"/>
  <c r="L5" i="15" s="1"/>
  <c r="M5" i="15" s="1"/>
  <c r="N5" i="15" s="1"/>
  <c r="O5" i="15" s="1"/>
  <c r="O4" i="15"/>
  <c r="N4" i="15"/>
  <c r="M4" i="15"/>
  <c r="L4" i="15"/>
  <c r="K4" i="15"/>
  <c r="J4" i="15"/>
  <c r="I4" i="15"/>
  <c r="H4" i="15"/>
  <c r="G4" i="15"/>
  <c r="F4" i="15"/>
  <c r="E4" i="15"/>
  <c r="D4" i="15"/>
  <c r="P4" i="15" s="1"/>
  <c r="P3" i="15"/>
  <c r="O69" i="13"/>
  <c r="N69" i="13"/>
  <c r="M69" i="13"/>
  <c r="L69" i="13"/>
  <c r="K69" i="13"/>
  <c r="J69" i="13"/>
  <c r="I69" i="13"/>
  <c r="H69" i="13"/>
  <c r="G69" i="13"/>
  <c r="F69" i="13"/>
  <c r="E69" i="13"/>
  <c r="D69" i="13"/>
  <c r="O67" i="13"/>
  <c r="N67" i="13"/>
  <c r="M67" i="13"/>
  <c r="L67" i="13"/>
  <c r="K67" i="13"/>
  <c r="J67" i="13"/>
  <c r="I67" i="13"/>
  <c r="H67" i="13"/>
  <c r="G67" i="13"/>
  <c r="F67" i="13"/>
  <c r="E67" i="13"/>
  <c r="D67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F68" i="15" l="1"/>
  <c r="G68" i="15"/>
  <c r="I68" i="15"/>
  <c r="K68" i="15"/>
  <c r="L68" i="15"/>
  <c r="H68" i="15"/>
  <c r="N68" i="15"/>
  <c r="I68" i="11" l="1"/>
  <c r="O68" i="11"/>
  <c r="K68" i="11"/>
  <c r="G68" i="11"/>
  <c r="J68" i="11"/>
  <c r="O70" i="13"/>
  <c r="N70" i="13"/>
  <c r="M70" i="13"/>
  <c r="L70" i="13"/>
  <c r="K70" i="13"/>
  <c r="J70" i="13"/>
  <c r="I70" i="13"/>
  <c r="H70" i="13"/>
  <c r="G70" i="13"/>
  <c r="F70" i="13"/>
  <c r="E70" i="13"/>
  <c r="D70" i="13"/>
  <c r="E6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D5" i="13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O4" i="13"/>
  <c r="N4" i="13"/>
  <c r="M4" i="13"/>
  <c r="L4" i="13"/>
  <c r="K4" i="13"/>
  <c r="J4" i="13"/>
  <c r="I4" i="13"/>
  <c r="H4" i="13"/>
  <c r="G4" i="13"/>
  <c r="F4" i="13"/>
  <c r="E4" i="13"/>
  <c r="D4" i="13"/>
  <c r="P3" i="13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D5" i="11"/>
  <c r="E5" i="11" s="1"/>
  <c r="O4" i="11"/>
  <c r="N4" i="11"/>
  <c r="M4" i="11"/>
  <c r="L4" i="11"/>
  <c r="K4" i="11"/>
  <c r="J4" i="11"/>
  <c r="I4" i="11"/>
  <c r="H4" i="11"/>
  <c r="G4" i="11"/>
  <c r="F4" i="11"/>
  <c r="E4" i="11"/>
  <c r="D4" i="11"/>
  <c r="P3" i="11"/>
  <c r="D68" i="13" l="1"/>
  <c r="L68" i="11"/>
  <c r="E68" i="11"/>
  <c r="M68" i="11"/>
  <c r="F68" i="11"/>
  <c r="N68" i="11"/>
  <c r="H68" i="11"/>
  <c r="F68" i="13"/>
  <c r="N68" i="13"/>
  <c r="I68" i="13"/>
  <c r="L68" i="13"/>
  <c r="P4" i="13"/>
  <c r="M68" i="13"/>
  <c r="G68" i="13"/>
  <c r="O68" i="13"/>
  <c r="H68" i="13"/>
  <c r="J68" i="13"/>
  <c r="K68" i="13"/>
  <c r="P4" i="11"/>
  <c r="F5" i="11"/>
  <c r="G5" i="11" l="1"/>
  <c r="H5" i="11" l="1"/>
  <c r="I5" i="11" l="1"/>
  <c r="J5" i="11" l="1"/>
  <c r="K5" i="11" l="1"/>
  <c r="L5" i="11" l="1"/>
  <c r="M5" i="11" l="1"/>
  <c r="N5" i="11" l="1"/>
  <c r="O5" i="11" l="1"/>
  <c r="D68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722E6CE-E33D-4B4F-AAF7-C9C0BA5B6AF8}" keepAlive="1" name="Query - Displayed Text" description="Connection to the 'Displayed Text' query in the workbook." type="5" refreshedVersion="0" background="1" saveData="1">
    <dbPr connection="Provider=Microsoft.Mashup.OleDb.1;Data Source=$Workbook$;Location=&quot;Displayed Text&quot;;Extended Properties=&quot;&quot;" command="SELECT * FROM [Displayed Text]"/>
  </connection>
  <connection id="2" xr16:uid="{206AC60F-EA41-4DBD-8142-9E4BE330AFA0}" keepAlive="1" name="Query - Displayed Text (2)" description="Connection to the 'Displayed Text (2)' query in the workbook." type="5" refreshedVersion="0" background="1">
    <dbPr connection="Provider=Microsoft.Mashup.OleDb.1;Data Source=$Workbook$;Location=&quot;Displayed Text (2)&quot;;Extended Properties=&quot;&quot;" command="SELECT * FROM [Displayed Text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<sst xmlns="http://schemas.openxmlformats.org/spreadsheetml/2006/main" count="88" uniqueCount="31">
  <si>
    <t>Year</t>
  </si>
  <si>
    <t>Month</t>
  </si>
  <si>
    <t>Days M</t>
  </si>
  <si>
    <t>hours</t>
  </si>
  <si>
    <t>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</si>
  <si>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</si>
  <si>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</si>
  <si>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</si>
  <si>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</si>
  <si>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</si>
  <si>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</si>
  <si>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</si>
  <si>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</si>
  <si>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</si>
  <si>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</si>
  <si>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</si>
  <si>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</si>
  <si>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Min</t>
  </si>
  <si>
    <t>Max</t>
  </si>
  <si>
    <t>Toggle</t>
  </si>
  <si>
    <t>50YAvg</t>
  </si>
  <si>
    <t>Kelvin to Celsius you minus 273.15</t>
  </si>
  <si>
    <t>50Y Avg</t>
  </si>
  <si>
    <t>Vs 50Y</t>
  </si>
  <si>
    <t>50Y Range</t>
  </si>
  <si>
    <t>https://climexp.knmi.nl/selectfield_rea.cgi?id=someone@somewhere</t>
  </si>
  <si>
    <t>Monthly Reanalysis Fields</t>
  </si>
  <si>
    <t>m/s</t>
  </si>
  <si>
    <t>Wind
(m/s)</t>
  </si>
  <si>
    <t>Rain
(mm/d)</t>
  </si>
  <si>
    <t>Temp
(Deg 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</si>
</sst>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2" formatCode="_-&quot;£&quot;* #,##0_-;\-&quot;£&quot;* #,##0_-;_-&quot;£&quot;* &quot;-&quot;_-;_-@_-"/>
    <numFmt numFmtId="41" formatCode="_-* #,##0_-;\-* #,##0_-;_-* &quot;-&quot;_-;_-@_-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#,##0;[Red]\(#,##0\);\-"/>
    <numFmt numFmtId="165" formatCode="[$-409]dd\-mmm\-yy;@"/>
    <numFmt numFmtId="166" formatCode="#,##0.00;[Red]\(#,##0.00\);\-"/>
    <numFmt numFmtId="167" formatCode="#,##0.0;[Red]\(#,##0.0\);\-"/>
    <numFmt numFmtId="168" formatCode="0%;[Red]\(0%\);\-"/>
  </numFmts>
  <fonts count="30" x14ac:knownFonts="1">
    <font>
      <sz val="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A7D00"/>
      <name val="Arial"/>
      <family val="2"/>
    </font>
    <font>
      <b/>
      <sz val="8"/>
      <color theme="0"/>
      <name val="Poppins"/>
    </font>
    <font>
      <sz val="8"/>
      <color rgb="FF0070C0"/>
      <name val="Poppins"/>
    </font>
    <font>
      <b/>
      <sz val="8"/>
      <color theme="9" tint="-0.499984740745262"/>
      <name val="Poppins"/>
    </font>
    <font>
      <sz val="8"/>
      <color theme="1"/>
      <name val="Poppins"/>
    </font>
    <font>
      <sz val="18"/>
      <color theme="3"/>
      <name val="Calibri Light"/>
      <family val="2"/>
      <scheme val="maj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3F3F3F"/>
      <name val="Arial"/>
      <family val="2"/>
    </font>
    <font>
      <sz val="10"/>
      <color rgb="FFFF0000"/>
      <name val="Arial"/>
      <family val="2"/>
    </font>
    <font>
      <sz val="10"/>
      <color theme="0"/>
      <name val="Arial"/>
      <family val="2"/>
    </font>
    <font>
      <sz val="8"/>
      <color theme="1"/>
      <name val="Arial"/>
      <family val="2"/>
    </font>
    <font>
      <b/>
      <sz val="8"/>
      <color theme="0"/>
      <name val="Arial"/>
      <family val="2"/>
    </font>
    <font>
      <b/>
      <sz val="8"/>
      <color theme="9" tint="-0.499984740745262"/>
      <name val="Arial"/>
      <family val="2"/>
    </font>
    <font>
      <b/>
      <sz val="8"/>
      <color theme="1"/>
      <name val="Arial"/>
      <family val="2"/>
    </font>
    <font>
      <sz val="8"/>
      <color theme="6"/>
      <name val="Arial"/>
      <family val="2"/>
    </font>
    <font>
      <sz val="8"/>
      <color theme="0" tint="-0.499984740745262"/>
      <name val="Arial"/>
      <family val="2"/>
    </font>
    <font>
      <sz val="8"/>
      <color theme="9" tint="-0.499984740745262"/>
      <name val="Arial"/>
      <family val="2"/>
    </font>
    <font>
      <b/>
      <sz val="8"/>
      <color theme="2"/>
      <name val="Arial"/>
      <family val="2"/>
    </font>
    <font>
      <b/>
      <sz val="8"/>
      <color theme="3" tint="-0.499984740745262"/>
      <name val="Arial"/>
      <family val="2"/>
    </font>
    <font>
      <sz val="8"/>
      <color theme="5"/>
      <name val="Arial"/>
      <family val="2"/>
    </font>
    <font>
      <sz val="8"/>
      <color theme="6" tint="0.59996337778862885"/>
      <name val="Arial"/>
      <family val="2"/>
    </font>
    <font>
      <b/>
      <i/>
      <sz val="8"/>
      <color theme="1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lightTrellis">
        <bgColor theme="0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9" tint="-0.24994659260841701"/>
        <bgColor indexed="64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9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7" tint="0.899960325937681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0.59996337778862885"/>
        <bgColor indexed="64"/>
      </patternFill>
    </fill>
    <fill>
      <patternFill patternType="solid">
        <fgColor theme="7" tint="0.24994659260841701"/>
        <bgColor indexed="64"/>
      </patternFill>
    </fill>
    <fill>
      <patternFill patternType="solid">
        <fgColor rgb="FFEE994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89999084444715716"/>
        <bgColor indexed="64"/>
      </patternFill>
    </fill>
  </fills>
  <borders count="2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7" tint="9.9948118533890809E-2"/>
      </left>
      <right style="thin">
        <color theme="7" tint="9.9948118533890809E-2"/>
      </right>
      <top style="thin">
        <color theme="7" tint="9.9948118533890809E-2"/>
      </top>
      <bottom style="thin">
        <color theme="7" tint="9.9948118533890809E-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3" tint="-0.499984740745262"/>
      </left>
      <right style="thin">
        <color theme="3" tint="-0.499984740745262"/>
      </right>
      <top style="thin">
        <color theme="3" tint="-0.499984740745262"/>
      </top>
      <bottom style="thin">
        <color theme="3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</borders>
  <cellStyleXfs count="62">
    <xf numFmtId="164" fontId="0" fillId="0" borderId="0" applyFill="0" applyBorder="0" applyProtection="0">
      <alignment horizontal="center" vertical="center"/>
    </xf>
    <xf numFmtId="0" fontId="19" fillId="18" borderId="2" applyNumberFormat="0" applyAlignment="0" applyProtection="0"/>
    <xf numFmtId="0" fontId="19" fillId="30" borderId="2" applyNumberFormat="0" applyAlignment="0" applyProtection="0"/>
    <xf numFmtId="0" fontId="4" fillId="19" borderId="2" applyNumberFormat="0" applyFont="0" applyAlignment="0" applyProtection="0"/>
    <xf numFmtId="0" fontId="19" fillId="29" borderId="2" applyNumberFormat="0" applyAlignment="0" applyProtection="0"/>
    <xf numFmtId="0" fontId="6" fillId="20" borderId="1" applyNumberFormat="0" applyAlignment="0" applyProtection="0"/>
    <xf numFmtId="0" fontId="5" fillId="21" borderId="3" applyNumberFormat="0" applyAlignment="0" applyProtection="0"/>
    <xf numFmtId="0" fontId="1" fillId="2" borderId="3" applyNumberFormat="0" applyFont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3" applyNumberFormat="0" applyFont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3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22" borderId="3" applyNumberFormat="0" applyFont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23" borderId="3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20" borderId="3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164" fontId="2" fillId="17" borderId="0" applyNumberFormat="0" applyFont="0" applyAlignment="0" applyProtection="0">
      <alignment horizontal="center" vertical="center"/>
    </xf>
    <xf numFmtId="0" fontId="3" fillId="22" borderId="3" applyNumberFormat="0" applyFont="0" applyAlignment="0" applyProtection="0"/>
    <xf numFmtId="0" fontId="8" fillId="0" borderId="0" applyNumberFormat="0" applyFill="0" applyBorder="0" applyAlignment="0" applyProtection="0"/>
    <xf numFmtId="0" fontId="9" fillId="24" borderId="0" applyNumberFormat="0" applyBorder="0" applyAlignment="0" applyProtection="0"/>
    <xf numFmtId="0" fontId="10" fillId="25" borderId="0" applyNumberFormat="0" applyBorder="0" applyAlignment="0" applyProtection="0"/>
    <xf numFmtId="0" fontId="11" fillId="26" borderId="0" applyNumberFormat="0" applyBorder="0" applyAlignment="0" applyProtection="0"/>
    <xf numFmtId="0" fontId="12" fillId="27" borderId="4" applyNumberFormat="0" applyAlignment="0" applyProtection="0"/>
    <xf numFmtId="0" fontId="7" fillId="28" borderId="5" applyNumberFormat="0" applyFont="0" applyAlignment="0" applyProtection="0"/>
    <xf numFmtId="0" fontId="13" fillId="0" borderId="0" applyNumberFormat="0" applyFill="0" applyBorder="0" applyAlignment="0" applyProtection="0"/>
    <xf numFmtId="0" fontId="14" fillId="0" borderId="6" applyNumberFormat="0" applyFill="0" applyAlignment="0" applyProtection="0"/>
    <xf numFmtId="43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2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5" fillId="31" borderId="7" applyNumberFormat="0" applyAlignment="0" applyProtection="0"/>
    <xf numFmtId="0" fontId="16" fillId="0" borderId="0" applyNumberFormat="0" applyFill="0" applyBorder="0" applyAlignment="0" applyProtection="0"/>
    <xf numFmtId="0" fontId="17" fillId="32" borderId="0" applyNumberFormat="0" applyBorder="0" applyAlignment="0" applyProtection="0"/>
    <xf numFmtId="0" fontId="17" fillId="33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7" borderId="0" applyNumberFormat="0" applyBorder="0" applyAlignment="0" applyProtection="0"/>
    <xf numFmtId="164" fontId="19" fillId="18" borderId="8" applyNumberFormat="0" applyProtection="0">
      <alignment horizontal="left" vertical="center"/>
    </xf>
    <xf numFmtId="164" fontId="19" fillId="38" borderId="8" applyProtection="0">
      <alignment horizontal="left" vertical="center"/>
    </xf>
    <xf numFmtId="164" fontId="20" fillId="39" borderId="8" applyProtection="0">
      <alignment horizontal="left" vertical="center"/>
    </xf>
    <xf numFmtId="164" fontId="19" fillId="18" borderId="3" applyProtection="0">
      <alignment horizontal="center"/>
    </xf>
    <xf numFmtId="164" fontId="19" fillId="38" borderId="3" applyProtection="0">
      <alignment horizontal="center"/>
    </xf>
    <xf numFmtId="164" fontId="20" fillId="39" borderId="3" applyProtection="0">
      <alignment horizontal="center"/>
    </xf>
    <xf numFmtId="165" fontId="18" fillId="40" borderId="9" applyProtection="0">
      <alignment horizontal="center" vertical="center"/>
    </xf>
    <xf numFmtId="0" fontId="23" fillId="22" borderId="3" applyNumberFormat="0" applyAlignment="0" applyProtection="0">
      <alignment horizontal="center" vertical="center"/>
    </xf>
    <xf numFmtId="0" fontId="22" fillId="40" borderId="10" applyNumberFormat="0" applyAlignment="0" applyProtection="0">
      <alignment horizontal="center" vertical="center"/>
    </xf>
    <xf numFmtId="0" fontId="28" fillId="43" borderId="3" applyNumberFormat="0" applyAlignment="0" applyProtection="0">
      <alignment horizontal="center" vertical="center"/>
    </xf>
    <xf numFmtId="0" fontId="24" fillId="41" borderId="3" applyNumberFormat="0" applyAlignment="0" applyProtection="0">
      <alignment horizontal="center" vertical="center"/>
    </xf>
    <xf numFmtId="0" fontId="25" fillId="42" borderId="12" applyNumberFormat="0" applyAlignment="0" applyProtection="0">
      <alignment horizontal="center" vertical="center"/>
    </xf>
    <xf numFmtId="0" fontId="26" fillId="23" borderId="11" applyNumberFormat="0" applyAlignment="0" applyProtection="0">
      <alignment horizontal="center" vertical="center"/>
    </xf>
    <xf numFmtId="0" fontId="27" fillId="21" borderId="3" applyNumberFormat="0" applyAlignment="0" applyProtection="0">
      <alignment horizontal="center" vertical="center"/>
    </xf>
  </cellStyleXfs>
  <cellXfs count="29">
    <xf numFmtId="164" fontId="0" fillId="0" borderId="0" xfId="0">
      <alignment horizontal="center" vertical="center"/>
    </xf>
    <xf numFmtId="164" fontId="19" fillId="18" borderId="3" xfId="51">
      <alignment horizontal="center"/>
    </xf>
    <xf numFmtId="164" fontId="21" fillId="0" borderId="0" xfId="0" applyFont="1">
      <alignment horizontal="center" vertical="center"/>
    </xf>
    <xf numFmtId="164" fontId="25" fillId="42" borderId="12" xfId="59" applyNumberFormat="1">
      <alignment horizontal="center" vertical="center"/>
    </xf>
    <xf numFmtId="164" fontId="0" fillId="0" borderId="0" xfId="0" applyAlignment="1">
      <alignment horizontal="left" vertical="center"/>
    </xf>
    <xf numFmtId="167" fontId="0" fillId="0" borderId="0" xfId="0" applyNumberFormat="1">
      <alignment horizontal="center" vertical="center"/>
    </xf>
    <xf numFmtId="168" fontId="0" fillId="0" borderId="0" xfId="0" applyNumberFormat="1">
      <alignment horizontal="center" vertical="center"/>
    </xf>
    <xf numFmtId="164" fontId="0" fillId="46" borderId="13" xfId="0" applyFill="1" applyBorder="1">
      <alignment horizontal="center" vertical="center"/>
    </xf>
    <xf numFmtId="164" fontId="0" fillId="46" borderId="15" xfId="0" applyFill="1" applyBorder="1">
      <alignment horizontal="center" vertical="center"/>
    </xf>
    <xf numFmtId="164" fontId="0" fillId="46" borderId="17" xfId="0" applyFill="1" applyBorder="1">
      <alignment horizontal="center" vertical="center"/>
    </xf>
    <xf numFmtId="1" fontId="0" fillId="22" borderId="13" xfId="0" applyNumberFormat="1" applyFill="1" applyBorder="1">
      <alignment horizontal="center" vertical="center"/>
    </xf>
    <xf numFmtId="1" fontId="0" fillId="22" borderId="15" xfId="0" applyNumberFormat="1" applyFill="1" applyBorder="1">
      <alignment horizontal="center" vertical="center"/>
    </xf>
    <xf numFmtId="1" fontId="0" fillId="22" borderId="17" xfId="0" applyNumberFormat="1" applyFill="1" applyBorder="1">
      <alignment horizontal="center" vertical="center"/>
    </xf>
    <xf numFmtId="164" fontId="21" fillId="45" borderId="0" xfId="0" applyFont="1" applyFill="1">
      <alignment horizontal="center" vertical="center"/>
    </xf>
    <xf numFmtId="164" fontId="0" fillId="23" borderId="14" xfId="0" applyFill="1" applyBorder="1">
      <alignment horizontal="center" vertical="center"/>
    </xf>
    <xf numFmtId="166" fontId="0" fillId="22" borderId="14" xfId="0" applyNumberFormat="1" applyFill="1" applyBorder="1">
      <alignment horizontal="center" vertical="center"/>
    </xf>
    <xf numFmtId="166" fontId="0" fillId="45" borderId="14" xfId="0" applyNumberFormat="1" applyFill="1" applyBorder="1">
      <alignment horizontal="center" vertical="center"/>
    </xf>
    <xf numFmtId="166" fontId="0" fillId="46" borderId="14" xfId="0" applyNumberFormat="1" applyFill="1" applyBorder="1">
      <alignment horizontal="center" vertical="center"/>
    </xf>
    <xf numFmtId="166" fontId="0" fillId="46" borderId="3" xfId="0" applyNumberFormat="1" applyFill="1" applyBorder="1">
      <alignment horizontal="center" vertical="center"/>
    </xf>
    <xf numFmtId="166" fontId="0" fillId="46" borderId="16" xfId="0" applyNumberFormat="1" applyFill="1" applyBorder="1">
      <alignment horizontal="center" vertical="center"/>
    </xf>
    <xf numFmtId="166" fontId="0" fillId="46" borderId="18" xfId="0" applyNumberFormat="1" applyFill="1" applyBorder="1">
      <alignment horizontal="center" vertical="center"/>
    </xf>
    <xf numFmtId="164" fontId="29" fillId="44" borderId="0" xfId="0" applyFont="1" applyFill="1" applyBorder="1" applyAlignment="1">
      <alignment horizontal="left" vertical="center"/>
    </xf>
    <xf numFmtId="1" fontId="0" fillId="22" borderId="19" xfId="0" applyNumberFormat="1" applyFill="1" applyBorder="1">
      <alignment horizontal="center" vertical="center"/>
    </xf>
    <xf numFmtId="164" fontId="0" fillId="23" borderId="0" xfId="0" applyFill="1" applyBorder="1">
      <alignment horizontal="center" vertical="center"/>
    </xf>
    <xf numFmtId="164" fontId="21" fillId="0" borderId="0" xfId="0" applyFont="1" applyAlignment="1">
      <alignment vertical="center"/>
    </xf>
    <xf numFmtId="164" fontId="0" fillId="0" borderId="0" xfId="0" applyAlignment="1">
      <alignment horizontal="center" vertical="center" wrapText="1"/>
    </xf>
    <xf numFmtId="165" fontId="21" fillId="0" borderId="0" xfId="0" applyNumberFormat="1" applyFont="1">
      <alignment horizontal="center" vertical="center"/>
    </xf>
    <xf numFmtId="164" fontId="0" fillId="18" borderId="0" xfId="0" applyFill="1">
      <alignment horizontal="center" vertical="center"/>
    </xf>
    <xf numFmtId="164" fontId="0" fillId="0" borderId="0" xfId="0" applyNumberFormat="1">
      <alignment horizontal="center" vertical="center"/>
    </xf>
  </cellXfs>
  <cellStyles count="62">
    <cellStyle name="20% - Accent1" xfId="7" builtinId="30" hidden="1" customBuiltin="1"/>
    <cellStyle name="20% - Accent2" xfId="10" builtinId="34" hidden="1" customBuiltin="1"/>
    <cellStyle name="20% - Accent3" xfId="13" builtinId="38" hidden="1" customBuiltin="1"/>
    <cellStyle name="20% - Accent4" xfId="16" builtinId="42" hidden="1" customBuiltin="1"/>
    <cellStyle name="20% - Accent5" xfId="19" builtinId="46" hidden="1" customBuiltin="1"/>
    <cellStyle name="20% - Accent6" xfId="22" builtinId="50" hidden="1" customBuiltin="1"/>
    <cellStyle name="40% - Accent1" xfId="8" builtinId="31" hidden="1" customBuiltin="1"/>
    <cellStyle name="40% - Accent2" xfId="11" builtinId="35" hidden="1" customBuiltin="1"/>
    <cellStyle name="40% - Accent3" xfId="14" builtinId="39" hidden="1" customBuiltin="1"/>
    <cellStyle name="40% - Accent4" xfId="17" builtinId="43" hidden="1" customBuiltin="1"/>
    <cellStyle name="40% - Accent5" xfId="20" builtinId="47" hidden="1" customBuiltin="1"/>
    <cellStyle name="40% - Accent6" xfId="23" builtinId="51" hidden="1" customBuiltin="1"/>
    <cellStyle name="60% - Accent1" xfId="9" builtinId="32" hidden="1" customBuiltin="1"/>
    <cellStyle name="60% - Accent2" xfId="12" builtinId="36" hidden="1" customBuiltin="1"/>
    <cellStyle name="60% - Accent3" xfId="15" builtinId="40" hidden="1" customBuiltin="1"/>
    <cellStyle name="60% - Accent4" xfId="18" builtinId="44" hidden="1" customBuiltin="1"/>
    <cellStyle name="60% - Accent5" xfId="21" builtinId="48" hidden="1" customBuiltin="1"/>
    <cellStyle name="60% - Accent6" xfId="24" builtinId="52" hidden="1" customBuiltin="1"/>
    <cellStyle name="Accent1" xfId="42" builtinId="29" hidden="1"/>
    <cellStyle name="Accent2" xfId="43" builtinId="33" hidden="1"/>
    <cellStyle name="Accent3" xfId="44" builtinId="37" hidden="1"/>
    <cellStyle name="Accent4" xfId="45" builtinId="41" hidden="1"/>
    <cellStyle name="Accent5" xfId="46" builtinId="45" hidden="1"/>
    <cellStyle name="Accent6" xfId="47" builtinId="49" hidden="1"/>
    <cellStyle name="Bad" xfId="29" builtinId="27" hidden="1"/>
    <cellStyle name="Blank" xfId="25" xr:uid="{F77CB066-5F60-4FBA-95B4-E5F59F67B50D}"/>
    <cellStyle name="Calculation" xfId="26" builtinId="22" hidden="1" customBuiltin="1"/>
    <cellStyle name="Check Cell" xfId="31" builtinId="23" hidden="1"/>
    <cellStyle name="Comma" xfId="35" builtinId="3" hidden="1"/>
    <cellStyle name="Comma [0]" xfId="36" builtinId="6" hidden="1"/>
    <cellStyle name="Currency" xfId="37" builtinId="4" hidden="1"/>
    <cellStyle name="Currency [0]" xfId="38" builtinId="7" hidden="1"/>
    <cellStyle name="Data1" xfId="55" xr:uid="{DA9E1780-91CC-4C85-9E42-684E01F1E729}"/>
    <cellStyle name="Data2" xfId="56" xr:uid="{72CF8015-D98A-4039-BE5F-E26CEF244B87}"/>
    <cellStyle name="Data3" xfId="58" xr:uid="{58DE52F5-566F-4F67-B58A-64BECD2D1723}"/>
    <cellStyle name="Date" xfId="54" xr:uid="{17876AF2-CD2E-42F7-AEF1-8A5B62A5AABC}"/>
    <cellStyle name="Explanatory Text" xfId="33" builtinId="53" hidden="1"/>
    <cellStyle name="Good" xfId="28" builtinId="26" hidden="1"/>
    <cellStyle name="Heading 1" xfId="1" builtinId="16" hidden="1" customBuiltin="1"/>
    <cellStyle name="Heading 2" xfId="2" builtinId="17" hidden="1" customBuiltin="1"/>
    <cellStyle name="Heading 3" xfId="3" builtinId="18" hidden="1" customBuiltin="1"/>
    <cellStyle name="Heading 4" xfId="4" builtinId="19" hidden="1" customBuiltin="1"/>
    <cellStyle name="Input" xfId="5" builtinId="20" hidden="1" customBuiltin="1"/>
    <cellStyle name="Input1" xfId="59" xr:uid="{1F68E954-526B-4C80-B98D-143CCEB1939E}"/>
    <cellStyle name="Input2" xfId="60" xr:uid="{29702BA5-10F8-4F2D-ABE3-73F95C33FD23}"/>
    <cellStyle name="Linked Cell" xfId="6" builtinId="24" hidden="1" customBuiltin="1"/>
    <cellStyle name="Linked1" xfId="61" xr:uid="{B40EE6CC-C1C5-4FD0-B8B4-5F56C227C348}"/>
    <cellStyle name="Linked2" xfId="57" xr:uid="{40CBE445-97F6-4825-8142-02E2A782D98B}"/>
    <cellStyle name="Neutral" xfId="30" builtinId="28" hidden="1"/>
    <cellStyle name="Normal" xfId="0" builtinId="0" customBuiltin="1"/>
    <cellStyle name="Note" xfId="32" builtinId="10" hidden="1"/>
    <cellStyle name="Output" xfId="40" builtinId="21" hidden="1"/>
    <cellStyle name="Percent" xfId="39" builtinId="5" hidden="1"/>
    <cellStyle name="S-Head1" xfId="48" xr:uid="{43070DEF-D765-4981-897A-C75DC00A5FD1}"/>
    <cellStyle name="S-Head2" xfId="49" xr:uid="{DA639EA8-CF31-47BA-A92B-D9AE9793B6D4}"/>
    <cellStyle name="S-Head3" xfId="50" xr:uid="{4F7934FE-93D8-4A7B-8DB6-616C14B2CDF5}"/>
    <cellStyle name="T-Head1" xfId="51" xr:uid="{46A3E4C5-C810-4DFC-B030-57DBCEF6B4D0}"/>
    <cellStyle name="T-Head2" xfId="52" xr:uid="{29172856-DFF4-4774-BF53-1628AC0EFA27}"/>
    <cellStyle name="T-Head3" xfId="53" xr:uid="{B866B8C3-6F2E-4EAA-A62D-4E9FB518217B}"/>
    <cellStyle name="Title" xfId="27" builtinId="15" hidden="1"/>
    <cellStyle name="Total" xfId="34" builtinId="25" hidden="1"/>
    <cellStyle name="Warning Text" xfId="41" builtinId="11" hidden="1"/>
  </cellStyles>
  <dxfs count="0"/>
  <tableStyles count="0" defaultTableStyle="TableStyleMedium2" defaultPivotStyle="PivotStyleLight16"/>
  <colors>
    <mruColors>
      <color rgb="FFEE9944"/>
      <color rgb="FF3366BB"/>
      <color rgb="FF663399"/>
      <color rgb="FF0099CC"/>
      <color rgb="FF00BBCC"/>
      <color rgb="FF22CCBB"/>
      <color rgb="FF44DD88"/>
      <color rgb="FF99DD55"/>
      <color rgb="FFEEDD00"/>
      <color rgb="FFCC66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4403362364191285E-2"/>
          <c:y val="5.0925925925925923E-2"/>
          <c:w val="0.92162826863914304"/>
          <c:h val="0.86482279250806071"/>
        </c:manualLayout>
      </c:layout>
      <c:areaChart>
        <c:grouping val="stacked"/>
        <c:varyColors val="0"/>
        <c:ser>
          <c:idx val="4"/>
          <c:order val="3"/>
          <c:tx>
            <c:strRef>
              <c:f>Wind!$C$67</c:f>
              <c:strCache>
                <c:ptCount val="1"/>
                <c:pt idx="0">
                  <c:v>Min</c:v>
                </c:pt>
              </c:strCache>
            </c:strRef>
          </c:tx>
          <c:spPr>
            <a:noFill/>
            <a:ln>
              <a:noFill/>
            </a:ln>
            <a:effectLst/>
          </c:spPr>
          <c:cat>
            <c:strRef>
              <c:f>Wind!$D$8:$O$8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Wind!$D$67:$O$67</c:f>
              <c:numCache>
                <c:formatCode>#,##0.00;[Red]\(#,##0.00\);\-</c:formatCode>
                <c:ptCount val="12"/>
                <c:pt idx="0">
                  <c:v>4.8288149999999996</c:v>
                </c:pt>
                <c:pt idx="1">
                  <c:v>4.4467840000000001</c:v>
                </c:pt>
                <c:pt idx="2">
                  <c:v>4.3487289999999996</c:v>
                </c:pt>
                <c:pt idx="3">
                  <c:v>4.1010369999999998</c:v>
                </c:pt>
                <c:pt idx="4">
                  <c:v>3.7840729999999998</c:v>
                </c:pt>
                <c:pt idx="5">
                  <c:v>3.7639909999999999</c:v>
                </c:pt>
                <c:pt idx="6">
                  <c:v>3.490097</c:v>
                </c:pt>
                <c:pt idx="7">
                  <c:v>3.5968119999999999</c:v>
                </c:pt>
                <c:pt idx="8">
                  <c:v>4.2299309999999997</c:v>
                </c:pt>
                <c:pt idx="9">
                  <c:v>4.7910579999999996</c:v>
                </c:pt>
                <c:pt idx="10">
                  <c:v>4.6887920000000003</c:v>
                </c:pt>
                <c:pt idx="11">
                  <c:v>4.7606310000000001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74-0A48-B911-D923C783694C}"/>
            </c:ext>
          </c:extLst>
        </c:ser>
        <c:ser>
          <c:idx val="5"/>
          <c:order val="5"/>
          <c:tx>
            <c:strRef>
              <c:f>Wind!$C$68</c:f>
              <c:strCache>
                <c:ptCount val="1"/>
                <c:pt idx="0">
                  <c:v>50Y Range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strRef>
              <c:f>Wind!$D$8:$O$8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Wind!$D$68:$O$68</c:f>
              <c:numCache>
                <c:formatCode>#,##0.00;[Red]\(#,##0.00\);\-</c:formatCode>
                <c:ptCount val="12"/>
                <c:pt idx="0">
                  <c:v>2.296373</c:v>
                </c:pt>
                <c:pt idx="1">
                  <c:v>2.2048069999999997</c:v>
                </c:pt>
                <c:pt idx="2">
                  <c:v>2.1687260000000004</c:v>
                </c:pt>
                <c:pt idx="3">
                  <c:v>1.330533</c:v>
                </c:pt>
                <c:pt idx="4">
                  <c:v>0.94867800000000058</c:v>
                </c:pt>
                <c:pt idx="5">
                  <c:v>1.0727520000000004</c:v>
                </c:pt>
                <c:pt idx="6">
                  <c:v>0.88466400000000034</c:v>
                </c:pt>
                <c:pt idx="7">
                  <c:v>1.0540780000000005</c:v>
                </c:pt>
                <c:pt idx="8">
                  <c:v>1.3094400000000004</c:v>
                </c:pt>
                <c:pt idx="9">
                  <c:v>1.4798630000000008</c:v>
                </c:pt>
                <c:pt idx="10">
                  <c:v>1.7843399999999994</c:v>
                </c:pt>
                <c:pt idx="11">
                  <c:v>1.7134530000000003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74-0A48-B911-D923C7836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3614576"/>
        <c:axId val="993622256"/>
      </c:areaChart>
      <c:lineChart>
        <c:grouping val="standard"/>
        <c:varyColors val="0"/>
        <c:ser>
          <c:idx val="0"/>
          <c:order val="0"/>
          <c:tx>
            <c:strRef>
              <c:f>Wind!$C$63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Wind!$D$8:$O$8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Wind!$D$63:$O$63</c:f>
              <c:numCache>
                <c:formatCode>#,##0.00;[Red]\(#,##0.00\);\-</c:formatCode>
                <c:ptCount val="12"/>
                <c:pt idx="0">
                  <c:v>5.9409590000000003</c:v>
                </c:pt>
                <c:pt idx="1">
                  <c:v>5.4756470000000004</c:v>
                </c:pt>
                <c:pt idx="2">
                  <c:v>4.5537169999999998</c:v>
                </c:pt>
                <c:pt idx="3">
                  <c:v>4.7621250000000002</c:v>
                </c:pt>
                <c:pt idx="4">
                  <c:v>3.9044029999999998</c:v>
                </c:pt>
                <c:pt idx="5">
                  <c:v>4.3165500000000003</c:v>
                </c:pt>
                <c:pt idx="6">
                  <c:v>3.8738809999999999</c:v>
                </c:pt>
                <c:pt idx="7">
                  <c:v>4.6228990000000003</c:v>
                </c:pt>
                <c:pt idx="8">
                  <c:v>4.7293830000000003</c:v>
                </c:pt>
                <c:pt idx="9">
                  <c:v>5.4394689999999999</c:v>
                </c:pt>
                <c:pt idx="10">
                  <c:v>5.8644889999999998</c:v>
                </c:pt>
                <c:pt idx="11">
                  <c:v>6.1683060000000003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74-0A48-B911-D923C783694C}"/>
            </c:ext>
          </c:extLst>
        </c:ser>
        <c:ser>
          <c:idx val="1"/>
          <c:order val="1"/>
          <c:tx>
            <c:strRef>
              <c:f>Wind!$C$64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Wind!$D$8:$O$8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Wind!$D$64:$O$64</c:f>
              <c:numCache>
                <c:formatCode>#,##0.00;[Red]\(#,##0.00\);\-</c:formatCode>
                <c:ptCount val="12"/>
                <c:pt idx="0">
                  <c:v>5.6239759999999999</c:v>
                </c:pt>
                <c:pt idx="1">
                  <c:v>5.1358059999999996</c:v>
                </c:pt>
                <c:pt idx="2">
                  <c:v>5.189425</c:v>
                </c:pt>
                <c:pt idx="3">
                  <c:v>4.5980879999999997</c:v>
                </c:pt>
                <c:pt idx="4">
                  <c:v>4.6829000000000001</c:v>
                </c:pt>
                <c:pt idx="5">
                  <c:v>4.6139089999999996</c:v>
                </c:pt>
                <c:pt idx="6">
                  <c:v>3.6800570000000001</c:v>
                </c:pt>
                <c:pt idx="7">
                  <c:v>4.5389549999999996</c:v>
                </c:pt>
                <c:pt idx="8">
                  <c:v>4.7444699999999997</c:v>
                </c:pt>
                <c:pt idx="9">
                  <c:v>5.2959820000000004</c:v>
                </c:pt>
                <c:pt idx="10">
                  <c:v>5.1063229999999997</c:v>
                </c:pt>
                <c:pt idx="11">
                  <c:v>5.703945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74-0A48-B911-D923C783694C}"/>
            </c:ext>
          </c:extLst>
        </c:ser>
        <c:ser>
          <c:idx val="2"/>
          <c:order val="2"/>
          <c:tx>
            <c:strRef>
              <c:f>Wind!$C$65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Wind!$D$8:$O$8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Wind!$D$65:$O$65</c:f>
              <c:numCache>
                <c:formatCode>#,##0.00;[Red]\(#,##0.00\);\-</c:formatCode>
                <c:ptCount val="12"/>
                <c:pt idx="0">
                  <c:v>5.0451560000000004</c:v>
                </c:pt>
                <c:pt idx="1">
                  <c:v>4.6994499999999997</c:v>
                </c:pt>
                <c:pt idx="2">
                  <c:v>5.4326679999999996</c:v>
                </c:pt>
                <c:pt idx="3">
                  <c:v>4.9012799999999999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74-0A48-B911-D923C783694C}"/>
            </c:ext>
          </c:extLst>
        </c:ser>
        <c:ser>
          <c:idx val="3"/>
          <c:order val="4"/>
          <c:tx>
            <c:strRef>
              <c:f>Wind!$C$66</c:f>
              <c:strCache>
                <c:ptCount val="1"/>
                <c:pt idx="0">
                  <c:v>50Y Avg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alpha val="58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Wind!$D$8:$O$8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Wind!$D$66:$O$66</c:f>
              <c:numCache>
                <c:formatCode>#,##0.00;[Red]\(#,##0.00\);\-</c:formatCode>
                <c:ptCount val="12"/>
                <c:pt idx="0">
                  <c:v>5.6822031000000015</c:v>
                </c:pt>
                <c:pt idx="1">
                  <c:v>5.419446579999998</c:v>
                </c:pt>
                <c:pt idx="2">
                  <c:v>5.16770978</c:v>
                </c:pt>
                <c:pt idx="3">
                  <c:v>4.6190988799999992</c:v>
                </c:pt>
                <c:pt idx="4">
                  <c:v>4.3088907399999989</c:v>
                </c:pt>
                <c:pt idx="5">
                  <c:v>4.2339226600000019</c:v>
                </c:pt>
                <c:pt idx="6">
                  <c:v>4.0457809400000011</c:v>
                </c:pt>
                <c:pt idx="7">
                  <c:v>4.2173542999999984</c:v>
                </c:pt>
                <c:pt idx="8">
                  <c:v>4.8219640999999989</c:v>
                </c:pt>
                <c:pt idx="9">
                  <c:v>5.3024462000000003</c:v>
                </c:pt>
                <c:pt idx="10">
                  <c:v>5.440022299999999</c:v>
                </c:pt>
                <c:pt idx="11">
                  <c:v>5.620455380000001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74-0A48-B911-D923C7836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3614576"/>
        <c:axId val="993622256"/>
      </c:lineChart>
      <c:catAx>
        <c:axId val="99361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3622256"/>
        <c:crosses val="autoZero"/>
        <c:auto val="1"/>
        <c:lblAlgn val="ctr"/>
        <c:lblOffset val="100"/>
        <c:noMultiLvlLbl val="0"/>
      </c:catAx>
      <c:valAx>
        <c:axId val="993622256"/>
        <c:scaling>
          <c:orientation val="minMax"/>
          <c:max val="7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[Red]\(#,##0\);\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361457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4403362364191285E-2"/>
          <c:y val="0.33374230794837406"/>
          <c:w val="0.92162826863914304"/>
          <c:h val="0.53466297638409366"/>
        </c:manualLayout>
      </c:layout>
      <c:areaChart>
        <c:grouping val="stacked"/>
        <c:varyColors val="0"/>
        <c:ser>
          <c:idx val="4"/>
          <c:order val="3"/>
          <c:tx>
            <c:strRef>
              <c:f>Wind!$C$67</c:f>
              <c:strCache>
                <c:ptCount val="1"/>
                <c:pt idx="0">
                  <c:v>Min</c:v>
                </c:pt>
              </c:strCache>
            </c:strRef>
          </c:tx>
          <c:spPr>
            <a:noFill/>
            <a:ln>
              <a:noFill/>
            </a:ln>
            <a:effectLst/>
          </c:spPr>
          <c:cat>
            <c:strRef>
              <c:f>Wind!$D$8:$O$8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Wind!$D$67:$O$67</c:f>
              <c:numCache>
                <c:formatCode>#,##0.00;[Red]\(#,##0.00\);\-</c:formatCode>
                <c:ptCount val="12"/>
                <c:pt idx="0">
                  <c:v>4.8288149999999996</c:v>
                </c:pt>
                <c:pt idx="1">
                  <c:v>4.4467840000000001</c:v>
                </c:pt>
                <c:pt idx="2">
                  <c:v>4.3487289999999996</c:v>
                </c:pt>
                <c:pt idx="3">
                  <c:v>4.1010369999999998</c:v>
                </c:pt>
                <c:pt idx="4">
                  <c:v>3.7840729999999998</c:v>
                </c:pt>
                <c:pt idx="5">
                  <c:v>3.7639909999999999</c:v>
                </c:pt>
                <c:pt idx="6">
                  <c:v>3.490097</c:v>
                </c:pt>
                <c:pt idx="7">
                  <c:v>3.5968119999999999</c:v>
                </c:pt>
                <c:pt idx="8">
                  <c:v>4.2299309999999997</c:v>
                </c:pt>
                <c:pt idx="9">
                  <c:v>4.7910579999999996</c:v>
                </c:pt>
                <c:pt idx="10">
                  <c:v>4.6887920000000003</c:v>
                </c:pt>
                <c:pt idx="11">
                  <c:v>4.7606310000000001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9A-824A-9508-F2EB64333498}"/>
            </c:ext>
          </c:extLst>
        </c:ser>
        <c:ser>
          <c:idx val="5"/>
          <c:order val="5"/>
          <c:tx>
            <c:strRef>
              <c:f>Wind!$C$68</c:f>
              <c:strCache>
                <c:ptCount val="1"/>
                <c:pt idx="0">
                  <c:v>50Y Range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strRef>
              <c:f>Wind!$D$8:$O$8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Wind!$D$68:$O$68</c:f>
              <c:numCache>
                <c:formatCode>#,##0.00;[Red]\(#,##0.00\);\-</c:formatCode>
                <c:ptCount val="12"/>
                <c:pt idx="0">
                  <c:v>2.296373</c:v>
                </c:pt>
                <c:pt idx="1">
                  <c:v>2.2048069999999997</c:v>
                </c:pt>
                <c:pt idx="2">
                  <c:v>2.1687260000000004</c:v>
                </c:pt>
                <c:pt idx="3">
                  <c:v>1.330533</c:v>
                </c:pt>
                <c:pt idx="4">
                  <c:v>0.94867800000000058</c:v>
                </c:pt>
                <c:pt idx="5">
                  <c:v>1.0727520000000004</c:v>
                </c:pt>
                <c:pt idx="6">
                  <c:v>0.88466400000000034</c:v>
                </c:pt>
                <c:pt idx="7">
                  <c:v>1.0540780000000005</c:v>
                </c:pt>
                <c:pt idx="8">
                  <c:v>1.3094400000000004</c:v>
                </c:pt>
                <c:pt idx="9">
                  <c:v>1.4798630000000008</c:v>
                </c:pt>
                <c:pt idx="10">
                  <c:v>1.7843399999999994</c:v>
                </c:pt>
                <c:pt idx="11">
                  <c:v>1.7134530000000003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9A-824A-9508-F2EB64333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3614576"/>
        <c:axId val="993622256"/>
      </c:areaChart>
      <c:lineChart>
        <c:grouping val="standard"/>
        <c:varyColors val="0"/>
        <c:ser>
          <c:idx val="0"/>
          <c:order val="0"/>
          <c:tx>
            <c:strRef>
              <c:f>Wind!$C$63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5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Wind!$D$8:$O$8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Wind!$D$63:$O$63</c:f>
              <c:numCache>
                <c:formatCode>#,##0.00;[Red]\(#,##0.00\);\-</c:formatCode>
                <c:ptCount val="12"/>
                <c:pt idx="0">
                  <c:v>5.9409590000000003</c:v>
                </c:pt>
                <c:pt idx="1">
                  <c:v>5.4756470000000004</c:v>
                </c:pt>
                <c:pt idx="2">
                  <c:v>4.5537169999999998</c:v>
                </c:pt>
                <c:pt idx="3">
                  <c:v>4.7621250000000002</c:v>
                </c:pt>
                <c:pt idx="4">
                  <c:v>3.9044029999999998</c:v>
                </c:pt>
                <c:pt idx="5">
                  <c:v>4.3165500000000003</c:v>
                </c:pt>
                <c:pt idx="6">
                  <c:v>3.8738809999999999</c:v>
                </c:pt>
                <c:pt idx="7">
                  <c:v>4.6228990000000003</c:v>
                </c:pt>
                <c:pt idx="8">
                  <c:v>4.7293830000000003</c:v>
                </c:pt>
                <c:pt idx="9">
                  <c:v>5.4394689999999999</c:v>
                </c:pt>
                <c:pt idx="10">
                  <c:v>5.8644889999999998</c:v>
                </c:pt>
                <c:pt idx="11">
                  <c:v>6.1683060000000003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9A-824A-9508-F2EB64333498}"/>
            </c:ext>
          </c:extLst>
        </c:ser>
        <c:ser>
          <c:idx val="1"/>
          <c:order val="1"/>
          <c:tx>
            <c:strRef>
              <c:f>Wind!$C$64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Wind!$D$8:$O$8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Wind!$D$64:$O$64</c:f>
              <c:numCache>
                <c:formatCode>#,##0.00;[Red]\(#,##0.00\);\-</c:formatCode>
                <c:ptCount val="12"/>
                <c:pt idx="0">
                  <c:v>5.6239759999999999</c:v>
                </c:pt>
                <c:pt idx="1">
                  <c:v>5.1358059999999996</c:v>
                </c:pt>
                <c:pt idx="2">
                  <c:v>5.189425</c:v>
                </c:pt>
                <c:pt idx="3">
                  <c:v>4.5980879999999997</c:v>
                </c:pt>
                <c:pt idx="4">
                  <c:v>4.6829000000000001</c:v>
                </c:pt>
                <c:pt idx="5">
                  <c:v>4.6139089999999996</c:v>
                </c:pt>
                <c:pt idx="6">
                  <c:v>3.6800570000000001</c:v>
                </c:pt>
                <c:pt idx="7">
                  <c:v>4.5389549999999996</c:v>
                </c:pt>
                <c:pt idx="8">
                  <c:v>4.7444699999999997</c:v>
                </c:pt>
                <c:pt idx="9">
                  <c:v>5.2959820000000004</c:v>
                </c:pt>
                <c:pt idx="10">
                  <c:v>5.1063229999999997</c:v>
                </c:pt>
                <c:pt idx="11">
                  <c:v>5.703945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9A-824A-9508-F2EB64333498}"/>
            </c:ext>
          </c:extLst>
        </c:ser>
        <c:ser>
          <c:idx val="2"/>
          <c:order val="2"/>
          <c:tx>
            <c:strRef>
              <c:f>Wind!$C$65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Wind!$D$8:$O$8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Wind!$D$65:$O$65</c:f>
              <c:numCache>
                <c:formatCode>#,##0.00;[Red]\(#,##0.00\);\-</c:formatCode>
                <c:ptCount val="12"/>
                <c:pt idx="0">
                  <c:v>5.0451560000000004</c:v>
                </c:pt>
                <c:pt idx="1">
                  <c:v>4.6994499999999997</c:v>
                </c:pt>
                <c:pt idx="2">
                  <c:v>5.4326679999999996</c:v>
                </c:pt>
                <c:pt idx="3">
                  <c:v>4.9012799999999999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39A-824A-9508-F2EB64333498}"/>
            </c:ext>
          </c:extLst>
        </c:ser>
        <c:ser>
          <c:idx val="3"/>
          <c:order val="4"/>
          <c:tx>
            <c:strRef>
              <c:f>Wind!$C$66</c:f>
              <c:strCache>
                <c:ptCount val="1"/>
                <c:pt idx="0">
                  <c:v>50Y Avg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alpha val="58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Wind!$D$8:$O$8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Wind!$D$66:$O$66</c:f>
              <c:numCache>
                <c:formatCode>#,##0.00;[Red]\(#,##0.00\);\-</c:formatCode>
                <c:ptCount val="12"/>
                <c:pt idx="0">
                  <c:v>5.6822031000000015</c:v>
                </c:pt>
                <c:pt idx="1">
                  <c:v>5.419446579999998</c:v>
                </c:pt>
                <c:pt idx="2">
                  <c:v>5.16770978</c:v>
                </c:pt>
                <c:pt idx="3">
                  <c:v>4.6190988799999992</c:v>
                </c:pt>
                <c:pt idx="4">
                  <c:v>4.3088907399999989</c:v>
                </c:pt>
                <c:pt idx="5">
                  <c:v>4.2339226600000019</c:v>
                </c:pt>
                <c:pt idx="6">
                  <c:v>4.0457809400000011</c:v>
                </c:pt>
                <c:pt idx="7">
                  <c:v>4.2173542999999984</c:v>
                </c:pt>
                <c:pt idx="8">
                  <c:v>4.8219640999999989</c:v>
                </c:pt>
                <c:pt idx="9">
                  <c:v>5.3024462000000003</c:v>
                </c:pt>
                <c:pt idx="10">
                  <c:v>5.440022299999999</c:v>
                </c:pt>
                <c:pt idx="11">
                  <c:v>5.620455380000001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39A-824A-9508-F2EB64333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3614576"/>
        <c:axId val="993622256"/>
      </c:lineChart>
      <c:catAx>
        <c:axId val="99361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3622256"/>
        <c:crosses val="autoZero"/>
        <c:auto val="1"/>
        <c:lblAlgn val="ctr"/>
        <c:lblOffset val="100"/>
        <c:noMultiLvlLbl val="0"/>
      </c:catAx>
      <c:valAx>
        <c:axId val="993622256"/>
        <c:scaling>
          <c:orientation val="minMax"/>
          <c:max val="7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[Red]\(#,##0\);\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361457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legendEntry>
        <c:idx val="4"/>
        <c:delete val="1"/>
      </c:legendEntry>
      <c:layout>
        <c:manualLayout>
          <c:xMode val="edge"/>
          <c:yMode val="edge"/>
          <c:x val="0.12658223867172372"/>
          <c:y val="4.8316070800163591E-2"/>
          <c:w val="0.87341776132827631"/>
          <c:h val="0.166050570729618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4403362364191285E-2"/>
          <c:y val="5.0925925925925923E-2"/>
          <c:w val="0.92162826863914304"/>
          <c:h val="0.86482279250806071"/>
        </c:manualLayout>
      </c:layout>
      <c:areaChart>
        <c:grouping val="stacked"/>
        <c:varyColors val="0"/>
        <c:ser>
          <c:idx val="4"/>
          <c:order val="3"/>
          <c:tx>
            <c:strRef>
              <c:f>Rain!$C$67</c:f>
              <c:strCache>
                <c:ptCount val="1"/>
                <c:pt idx="0">
                  <c:v>Min</c:v>
                </c:pt>
              </c:strCache>
            </c:strRef>
          </c:tx>
          <c:spPr>
            <a:noFill/>
            <a:ln>
              <a:noFill/>
            </a:ln>
            <a:effectLst/>
          </c:spPr>
          <c:cat>
            <c:strRef>
              <c:f>Rain!$D$8:$O$8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Rain!$D$67:$O$67</c:f>
              <c:numCache>
                <c:formatCode>#,##0.00;[Red]\(#,##0.00\);\-</c:formatCode>
                <c:ptCount val="12"/>
                <c:pt idx="0">
                  <c:v>1.047064</c:v>
                </c:pt>
                <c:pt idx="1">
                  <c:v>0.93858600000000003</c:v>
                </c:pt>
                <c:pt idx="2">
                  <c:v>0.94233129999999998</c:v>
                </c:pt>
                <c:pt idx="3">
                  <c:v>0.73741129999999999</c:v>
                </c:pt>
                <c:pt idx="4">
                  <c:v>0.99903909999999996</c:v>
                </c:pt>
                <c:pt idx="5">
                  <c:v>1.2524390000000001</c:v>
                </c:pt>
                <c:pt idx="6">
                  <c:v>1.135786</c:v>
                </c:pt>
                <c:pt idx="7">
                  <c:v>1.4991650000000001</c:v>
                </c:pt>
                <c:pt idx="8">
                  <c:v>1.805258</c:v>
                </c:pt>
                <c:pt idx="9">
                  <c:v>1.66042</c:v>
                </c:pt>
                <c:pt idx="10">
                  <c:v>1.231627</c:v>
                </c:pt>
                <c:pt idx="11">
                  <c:v>1.3691139999999999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B-4205-8759-AF7F19096740}"/>
            </c:ext>
          </c:extLst>
        </c:ser>
        <c:ser>
          <c:idx val="5"/>
          <c:order val="5"/>
          <c:tx>
            <c:strRef>
              <c:f>Rain!$C$68</c:f>
              <c:strCache>
                <c:ptCount val="1"/>
                <c:pt idx="0">
                  <c:v>50Y Range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strRef>
              <c:f>Rain!$D$8:$O$8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Rain!$D$68:$O$68</c:f>
              <c:numCache>
                <c:formatCode>#,##0.00;[Red]\(#,##0.00\);\-</c:formatCode>
                <c:ptCount val="12"/>
                <c:pt idx="0">
                  <c:v>2.5649870000000004</c:v>
                </c:pt>
                <c:pt idx="1">
                  <c:v>2.7627070000000002</c:v>
                </c:pt>
                <c:pt idx="2">
                  <c:v>1.9689317</c:v>
                </c:pt>
                <c:pt idx="3">
                  <c:v>1.9338656999999999</c:v>
                </c:pt>
                <c:pt idx="4">
                  <c:v>1.8154778999999999</c:v>
                </c:pt>
                <c:pt idx="5">
                  <c:v>2.186814</c:v>
                </c:pt>
                <c:pt idx="6">
                  <c:v>2.5986009999999999</c:v>
                </c:pt>
                <c:pt idx="7">
                  <c:v>2.3579680000000001</c:v>
                </c:pt>
                <c:pt idx="8">
                  <c:v>2.0646440000000004</c:v>
                </c:pt>
                <c:pt idx="9">
                  <c:v>2.3135430000000001</c:v>
                </c:pt>
                <c:pt idx="10">
                  <c:v>2.262832</c:v>
                </c:pt>
                <c:pt idx="11">
                  <c:v>2.1497020000000004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B-4205-8759-AF7F19096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3614576"/>
        <c:axId val="993622256"/>
      </c:areaChart>
      <c:lineChart>
        <c:grouping val="standard"/>
        <c:varyColors val="0"/>
        <c:ser>
          <c:idx val="0"/>
          <c:order val="0"/>
          <c:tx>
            <c:strRef>
              <c:f>Rain!$C$63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Rain!$D$8:$O$8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Rain!$D$63:$O$63</c:f>
              <c:numCache>
                <c:formatCode>#,##0.00;[Red]\(#,##0.00\);\-</c:formatCode>
                <c:ptCount val="12"/>
                <c:pt idx="0">
                  <c:v>2.7648380000000001</c:v>
                </c:pt>
                <c:pt idx="1">
                  <c:v>2.8839589999999999</c:v>
                </c:pt>
                <c:pt idx="2">
                  <c:v>1.735506</c:v>
                </c:pt>
                <c:pt idx="3">
                  <c:v>2.3740600000000001</c:v>
                </c:pt>
                <c:pt idx="4">
                  <c:v>1.1178189999999999</c:v>
                </c:pt>
                <c:pt idx="5">
                  <c:v>2.9871409999999998</c:v>
                </c:pt>
                <c:pt idx="6">
                  <c:v>3.4703349999999999</c:v>
                </c:pt>
                <c:pt idx="7">
                  <c:v>3.2523390000000001</c:v>
                </c:pt>
                <c:pt idx="8">
                  <c:v>2.7766190000000002</c:v>
                </c:pt>
                <c:pt idx="9">
                  <c:v>3.1793490000000002</c:v>
                </c:pt>
                <c:pt idx="10">
                  <c:v>2.9667979999999998</c:v>
                </c:pt>
                <c:pt idx="11">
                  <c:v>3.3229250000000001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AB-4205-8759-AF7F19096740}"/>
            </c:ext>
          </c:extLst>
        </c:ser>
        <c:ser>
          <c:idx val="1"/>
          <c:order val="1"/>
          <c:tx>
            <c:strRef>
              <c:f>Rain!$C$64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Rain!$D$8:$O$8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Rain!$D$64:$O$64</c:f>
              <c:numCache>
                <c:formatCode>#,##0.00;[Red]\(#,##0.00\);\-</c:formatCode>
                <c:ptCount val="12"/>
                <c:pt idx="0">
                  <c:v>3.0586129999999998</c:v>
                </c:pt>
                <c:pt idx="1">
                  <c:v>1.6055619999999999</c:v>
                </c:pt>
                <c:pt idx="2">
                  <c:v>2.2134200000000002</c:v>
                </c:pt>
                <c:pt idx="3">
                  <c:v>1.7273130000000001</c:v>
                </c:pt>
                <c:pt idx="4">
                  <c:v>2.0845720000000001</c:v>
                </c:pt>
                <c:pt idx="5">
                  <c:v>2.9532240000000001</c:v>
                </c:pt>
                <c:pt idx="6">
                  <c:v>2.6151309999999999</c:v>
                </c:pt>
                <c:pt idx="7">
                  <c:v>2.991304</c:v>
                </c:pt>
                <c:pt idx="8">
                  <c:v>2.8908119999999999</c:v>
                </c:pt>
                <c:pt idx="9">
                  <c:v>3.2920370000000001</c:v>
                </c:pt>
                <c:pt idx="10">
                  <c:v>3.029938</c:v>
                </c:pt>
                <c:pt idx="11">
                  <c:v>2.815372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AB-4205-8759-AF7F19096740}"/>
            </c:ext>
          </c:extLst>
        </c:ser>
        <c:ser>
          <c:idx val="2"/>
          <c:order val="2"/>
          <c:tx>
            <c:strRef>
              <c:f>Rain!$C$65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3366BB"/>
                </a:solidFill>
              </a:ln>
              <a:effectLst/>
            </c:spPr>
          </c:marker>
          <c:cat>
            <c:strRef>
              <c:f>Rain!$D$8:$O$8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Rain!$D$65:$O$65</c:f>
              <c:numCache>
                <c:formatCode>#,##0.00;[Red]\(#,##0.00\);\-</c:formatCode>
                <c:ptCount val="12"/>
                <c:pt idx="0">
                  <c:v>1.5029999999999999</c:v>
                </c:pt>
                <c:pt idx="1">
                  <c:v>1.641</c:v>
                </c:pt>
                <c:pt idx="2">
                  <c:v>2.2989999999999999</c:v>
                </c:pt>
                <c:pt idx="3">
                  <c:v>1.2475210000000001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AB-4205-8759-AF7F19096740}"/>
            </c:ext>
          </c:extLst>
        </c:ser>
        <c:ser>
          <c:idx val="3"/>
          <c:order val="4"/>
          <c:tx>
            <c:strRef>
              <c:f>Rain!$C$66</c:f>
              <c:strCache>
                <c:ptCount val="1"/>
                <c:pt idx="0">
                  <c:v>50Y Avg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alpha val="58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Rain!$D$8:$O$8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Rain!$D$66:$O$66</c:f>
              <c:numCache>
                <c:formatCode>#,##0.00;[Red]\(#,##0.00\);\-</c:formatCode>
                <c:ptCount val="12"/>
                <c:pt idx="0">
                  <c:v>2.5391678999999994</c:v>
                </c:pt>
                <c:pt idx="1">
                  <c:v>2.1988499999999997</c:v>
                </c:pt>
                <c:pt idx="2">
                  <c:v>2.0252488659999996</c:v>
                </c:pt>
                <c:pt idx="3">
                  <c:v>1.7748912660000002</c:v>
                </c:pt>
                <c:pt idx="4">
                  <c:v>1.8726088619999992</c:v>
                </c:pt>
                <c:pt idx="5">
                  <c:v>2.4002571399999999</c:v>
                </c:pt>
                <c:pt idx="6">
                  <c:v>2.68382392</c:v>
                </c:pt>
                <c:pt idx="7">
                  <c:v>2.8455032200000003</c:v>
                </c:pt>
                <c:pt idx="8">
                  <c:v>2.8339356400000009</c:v>
                </c:pt>
                <c:pt idx="9">
                  <c:v>2.9197467199999996</c:v>
                </c:pt>
                <c:pt idx="10">
                  <c:v>2.7837798200000003</c:v>
                </c:pt>
                <c:pt idx="11">
                  <c:v>2.6627293200000008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AB-4205-8759-AF7F19096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3614576"/>
        <c:axId val="993622256"/>
      </c:lineChart>
      <c:catAx>
        <c:axId val="99361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3622256"/>
        <c:crosses val="autoZero"/>
        <c:auto val="1"/>
        <c:lblAlgn val="ctr"/>
        <c:lblOffset val="100"/>
        <c:noMultiLvlLbl val="0"/>
      </c:catAx>
      <c:valAx>
        <c:axId val="993622256"/>
        <c:scaling>
          <c:orientation val="minMax"/>
          <c:max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[Red]\(#,##0\);\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361457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4720370552728547E-2"/>
          <c:y val="5.0925925925925923E-2"/>
          <c:w val="0.90854563297829039"/>
          <c:h val="0.86482283464566934"/>
        </c:manualLayout>
      </c:layout>
      <c:areaChart>
        <c:grouping val="stacked"/>
        <c:varyColors val="0"/>
        <c:ser>
          <c:idx val="4"/>
          <c:order val="3"/>
          <c:tx>
            <c:strRef>
              <c:f>Temp!$C$67</c:f>
              <c:strCache>
                <c:ptCount val="1"/>
                <c:pt idx="0">
                  <c:v>Min</c:v>
                </c:pt>
              </c:strCache>
            </c:strRef>
          </c:tx>
          <c:spPr>
            <a:noFill/>
            <a:ln>
              <a:noFill/>
            </a:ln>
            <a:effectLst/>
          </c:spPr>
          <c:cat>
            <c:strRef>
              <c:f>Temp!$D$8:$O$8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Temp!$D$67:$O$67</c:f>
              <c:numCache>
                <c:formatCode>#,##0.00;[Red]\(#,##0.00\);\-</c:formatCode>
                <c:ptCount val="12"/>
                <c:pt idx="0">
                  <c:v>-11.321809999999999</c:v>
                </c:pt>
                <c:pt idx="1">
                  <c:v>-11.02835</c:v>
                </c:pt>
                <c:pt idx="2">
                  <c:v>-4.9905090000000003</c:v>
                </c:pt>
                <c:pt idx="3">
                  <c:v>0.71463010000000005</c:v>
                </c:pt>
                <c:pt idx="4">
                  <c:v>6.0633540000000004</c:v>
                </c:pt>
                <c:pt idx="5">
                  <c:v>9.6394350000000006</c:v>
                </c:pt>
                <c:pt idx="6">
                  <c:v>12.893129999999999</c:v>
                </c:pt>
                <c:pt idx="7">
                  <c:v>11.27313</c:v>
                </c:pt>
                <c:pt idx="8">
                  <c:v>7.1430360000000004</c:v>
                </c:pt>
                <c:pt idx="9">
                  <c:v>1.170105</c:v>
                </c:pt>
                <c:pt idx="10">
                  <c:v>-2.2217709999999999</c:v>
                </c:pt>
                <c:pt idx="11">
                  <c:v>-8.5000610000000005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98-4A1F-9A20-757A4E1FE3DF}"/>
            </c:ext>
          </c:extLst>
        </c:ser>
        <c:ser>
          <c:idx val="5"/>
          <c:order val="5"/>
          <c:tx>
            <c:strRef>
              <c:f>Temp!$C$68</c:f>
              <c:strCache>
                <c:ptCount val="1"/>
                <c:pt idx="0">
                  <c:v>50Y Range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strRef>
              <c:f>Temp!$D$8:$O$8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Temp!$D$68:$O$68</c:f>
              <c:numCache>
                <c:formatCode>#,##0.00;[Red]\(#,##0.00\);\-</c:formatCode>
                <c:ptCount val="12"/>
                <c:pt idx="0">
                  <c:v>12.473695999999999</c:v>
                </c:pt>
                <c:pt idx="1">
                  <c:v>12.930937999999999</c:v>
                </c:pt>
                <c:pt idx="2">
                  <c:v>7.2687990000000005</c:v>
                </c:pt>
                <c:pt idx="3">
                  <c:v>4.2785948999999999</c:v>
                </c:pt>
                <c:pt idx="4">
                  <c:v>5.0502959999999995</c:v>
                </c:pt>
                <c:pt idx="5">
                  <c:v>4.9142149999999987</c:v>
                </c:pt>
                <c:pt idx="6">
                  <c:v>4.598749999999999</c:v>
                </c:pt>
                <c:pt idx="7">
                  <c:v>5.21692</c:v>
                </c:pt>
                <c:pt idx="8">
                  <c:v>5.6416339999999998</c:v>
                </c:pt>
                <c:pt idx="9">
                  <c:v>6.9651490000000003</c:v>
                </c:pt>
                <c:pt idx="10">
                  <c:v>6.5588990000000003</c:v>
                </c:pt>
                <c:pt idx="11">
                  <c:v>11.090607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98-4A1F-9A20-757A4E1FE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3614576"/>
        <c:axId val="993622256"/>
      </c:areaChart>
      <c:lineChart>
        <c:grouping val="standard"/>
        <c:varyColors val="0"/>
        <c:ser>
          <c:idx val="0"/>
          <c:order val="0"/>
          <c:tx>
            <c:strRef>
              <c:f>Temp!$C$63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Temp!$D$8:$O$8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Temp!$D$63:$O$63</c:f>
              <c:numCache>
                <c:formatCode>#,##0.00;[Red]\(#,##0.00\);\-</c:formatCode>
                <c:ptCount val="12"/>
                <c:pt idx="0">
                  <c:v>-5.0671689999999998</c:v>
                </c:pt>
                <c:pt idx="1">
                  <c:v>-2.1376650000000001</c:v>
                </c:pt>
                <c:pt idx="2">
                  <c:v>0.90069580000000005</c:v>
                </c:pt>
                <c:pt idx="3">
                  <c:v>2.790619</c:v>
                </c:pt>
                <c:pt idx="4">
                  <c:v>10.457369999999999</c:v>
                </c:pt>
                <c:pt idx="5">
                  <c:v>13.681979999999999</c:v>
                </c:pt>
                <c:pt idx="6">
                  <c:v>15.84418</c:v>
                </c:pt>
                <c:pt idx="7">
                  <c:v>15.71945</c:v>
                </c:pt>
                <c:pt idx="8">
                  <c:v>12.50296</c:v>
                </c:pt>
                <c:pt idx="9">
                  <c:v>6.9671329999999996</c:v>
                </c:pt>
                <c:pt idx="10">
                  <c:v>2.587494</c:v>
                </c:pt>
                <c:pt idx="11">
                  <c:v>-0.12155150000000001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98-4A1F-9A20-757A4E1FE3DF}"/>
            </c:ext>
          </c:extLst>
        </c:ser>
        <c:ser>
          <c:idx val="1"/>
          <c:order val="1"/>
          <c:tx>
            <c:strRef>
              <c:f>Temp!$C$64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Temp!$D$8:$O$8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Temp!$D$64:$O$64</c:f>
              <c:numCache>
                <c:formatCode>#,##0.00;[Red]\(#,##0.00\);\-</c:formatCode>
                <c:ptCount val="12"/>
                <c:pt idx="0">
                  <c:v>-1.488739</c:v>
                </c:pt>
                <c:pt idx="1">
                  <c:v>-1.3574219999999999</c:v>
                </c:pt>
                <c:pt idx="2">
                  <c:v>1.576233</c:v>
                </c:pt>
                <c:pt idx="3">
                  <c:v>4.3814089999999997</c:v>
                </c:pt>
                <c:pt idx="4">
                  <c:v>7.7515559999999999</c:v>
                </c:pt>
                <c:pt idx="5">
                  <c:v>11.96655</c:v>
                </c:pt>
                <c:pt idx="6">
                  <c:v>16.987030000000001</c:v>
                </c:pt>
                <c:pt idx="7">
                  <c:v>14.218349999999999</c:v>
                </c:pt>
                <c:pt idx="8">
                  <c:v>12.653079999999999</c:v>
                </c:pt>
                <c:pt idx="9">
                  <c:v>7.105499</c:v>
                </c:pt>
                <c:pt idx="10">
                  <c:v>2.0210270000000001</c:v>
                </c:pt>
                <c:pt idx="11">
                  <c:v>1.2034910000000001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98-4A1F-9A20-757A4E1FE3DF}"/>
            </c:ext>
          </c:extLst>
        </c:ser>
        <c:ser>
          <c:idx val="2"/>
          <c:order val="2"/>
          <c:tx>
            <c:strRef>
              <c:f>Temp!$C$65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3366BB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cat>
            <c:strRef>
              <c:f>Temp!$D$8:$O$8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Temp!$D$65:$O$65</c:f>
              <c:numCache>
                <c:formatCode>#,##0.00;[Red]\(#,##0.00\);\-</c:formatCode>
                <c:ptCount val="12"/>
                <c:pt idx="0">
                  <c:v>-6.496124</c:v>
                </c:pt>
                <c:pt idx="1">
                  <c:v>-6.5062559999999996</c:v>
                </c:pt>
                <c:pt idx="2">
                  <c:v>2.930847</c:v>
                </c:pt>
                <c:pt idx="3">
                  <c:v>4.4375309999999999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098-4A1F-9A20-757A4E1FE3DF}"/>
            </c:ext>
          </c:extLst>
        </c:ser>
        <c:ser>
          <c:idx val="3"/>
          <c:order val="4"/>
          <c:tx>
            <c:strRef>
              <c:f>Temp!$C$66</c:f>
              <c:strCache>
                <c:ptCount val="1"/>
                <c:pt idx="0">
                  <c:v>50YAvg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alpha val="58000"/>
                </a:schemeClr>
              </a:solidFill>
              <a:prstDash val="sysDot"/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none"/>
          </c:marker>
          <c:cat>
            <c:strRef>
              <c:f>Temp!$D$8:$O$8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Temp!$D$66:$O$66</c:f>
              <c:numCache>
                <c:formatCode>#,##0.00;[Red]\(#,##0.00\);\-</c:formatCode>
                <c:ptCount val="12"/>
                <c:pt idx="0">
                  <c:v>-3.7465473200000012</c:v>
                </c:pt>
                <c:pt idx="1">
                  <c:v>-3.6736620915999998</c:v>
                </c:pt>
                <c:pt idx="2">
                  <c:v>-0.98650324760000008</c:v>
                </c:pt>
                <c:pt idx="3">
                  <c:v>2.9593981639999991</c:v>
                </c:pt>
                <c:pt idx="4">
                  <c:v>7.8305525199999977</c:v>
                </c:pt>
                <c:pt idx="5">
                  <c:v>12.031047059999999</c:v>
                </c:pt>
                <c:pt idx="6">
                  <c:v>14.745694400000001</c:v>
                </c:pt>
                <c:pt idx="7">
                  <c:v>13.967116599999999</c:v>
                </c:pt>
                <c:pt idx="8">
                  <c:v>10.202346240000001</c:v>
                </c:pt>
                <c:pt idx="9">
                  <c:v>5.5139392599999999</c:v>
                </c:pt>
                <c:pt idx="10">
                  <c:v>1.1314904942000001</c:v>
                </c:pt>
                <c:pt idx="11">
                  <c:v>-2.0800298934000003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098-4A1F-9A20-757A4E1FE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3614576"/>
        <c:axId val="993622256"/>
      </c:lineChart>
      <c:catAx>
        <c:axId val="99361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3622256"/>
        <c:crosses val="autoZero"/>
        <c:auto val="1"/>
        <c:lblAlgn val="ctr"/>
        <c:lblOffset val="100"/>
        <c:noMultiLvlLbl val="0"/>
      </c:catAx>
      <c:valAx>
        <c:axId val="993622256"/>
        <c:scaling>
          <c:orientation val="minMax"/>
          <c:max val="2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[Red]\(#,##0\);\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3614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Sum!$E$3</c:f>
              <c:strCache>
                <c:ptCount val="1"/>
                <c:pt idx="0">
                  <c:v>Min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Sum!$B$4</c:f>
              <c:strCache>
                <c:ptCount val="1"/>
                <c:pt idx="0">
                  <c:v>Wind
(m/s)</c:v>
                </c:pt>
              </c:strCache>
            </c:strRef>
          </c:cat>
          <c:val>
            <c:numRef>
              <c:f>Sum!$E$4</c:f>
              <c:numCache>
                <c:formatCode>#,##0;[Red]\(#,##0\);\-</c:formatCode>
                <c:ptCount val="1"/>
                <c:pt idx="0">
                  <c:v>4.1010369999999998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F-49C8-847B-632121A76BAF}"/>
            </c:ext>
          </c:extLst>
        </c:ser>
        <c:ser>
          <c:idx val="3"/>
          <c:order val="3"/>
          <c:tx>
            <c:strRef>
              <c:f>Sum!$F$3</c:f>
              <c:strCache>
                <c:ptCount val="1"/>
                <c:pt idx="0">
                  <c:v>50Y Range</c:v>
                </c:pt>
              </c:strCache>
            </c:strRef>
          </c:tx>
          <c:spPr>
            <a:solidFill>
              <a:srgbClr val="E67B00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E67B00">
                  <a:lumMod val="75000"/>
                </a:srgb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97EF-49C8-847B-632121A76BAF}"/>
              </c:ext>
            </c:extLst>
          </c:dPt>
          <c:cat>
            <c:strRef>
              <c:f>Sum!$B$4</c:f>
              <c:strCache>
                <c:ptCount val="1"/>
                <c:pt idx="0">
                  <c:v>Wind
(m/s)</c:v>
                </c:pt>
              </c:strCache>
            </c:strRef>
          </c:cat>
          <c:val>
            <c:numRef>
              <c:f>Sum!$F$4</c:f>
              <c:numCache>
                <c:formatCode>#,##0;[Red]\(#,##0\);\-</c:formatCode>
                <c:ptCount val="1"/>
                <c:pt idx="0">
                  <c:v>1.330533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F-49C8-847B-632121A76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9"/>
        <c:overlap val="100"/>
        <c:axId val="311609632"/>
        <c:axId val="311617312"/>
      </c:barChart>
      <c:lineChart>
        <c:grouping val="standard"/>
        <c:varyColors val="0"/>
        <c:ser>
          <c:idx val="0"/>
          <c:order val="0"/>
          <c:tx>
            <c:strRef>
              <c:f>Sum!$C$3</c:f>
              <c:strCache>
                <c:ptCount val="1"/>
                <c:pt idx="0">
                  <c:v>01-Apr-26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15"/>
            <c:spPr>
              <a:solidFill>
                <a:srgbClr val="FFFFFF"/>
              </a:solidFill>
              <a:ln w="9525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cat>
            <c:strRef>
              <c:f>Sum!$B$4</c:f>
              <c:strCache>
                <c:ptCount val="1"/>
                <c:pt idx="0">
                  <c:v>Wind
(m/s)</c:v>
                </c:pt>
              </c:strCache>
            </c:strRef>
          </c:cat>
          <c:val>
            <c:numRef>
              <c:f>Sum!$C$4</c:f>
              <c:numCache>
                <c:formatCode>#,##0;[Red]\(#,##0\);\-</c:formatCode>
                <c:ptCount val="1"/>
                <c:pt idx="0">
                  <c:v>4.9012799999999999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EF-49C8-847B-632121A76BAF}"/>
            </c:ext>
          </c:extLst>
        </c:ser>
        <c:ser>
          <c:idx val="1"/>
          <c:order val="1"/>
          <c:tx>
            <c:strRef>
              <c:f>Sum!$D$3</c:f>
              <c:strCache>
                <c:ptCount val="1"/>
                <c:pt idx="0">
                  <c:v>50Y Avg</c:v>
                </c:pt>
              </c:strCache>
            </c:strRef>
          </c:tx>
          <c:spPr>
            <a:ln w="50800" cap="rnd">
              <a:noFill/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dash"/>
            <c:size val="30"/>
            <c:spPr>
              <a:solidFill>
                <a:srgbClr val="F9B516"/>
              </a:solidFill>
              <a:ln w="9525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cat>
            <c:strRef>
              <c:f>Sum!$B$4</c:f>
              <c:strCache>
                <c:ptCount val="1"/>
                <c:pt idx="0">
                  <c:v>Wind
(m/s)</c:v>
                </c:pt>
              </c:strCache>
            </c:strRef>
          </c:cat>
          <c:val>
            <c:numRef>
              <c:f>Sum!$D$4</c:f>
              <c:numCache>
                <c:formatCode>#,##0;[Red]\(#,##0\);\-</c:formatCode>
                <c:ptCount val="1"/>
                <c:pt idx="0">
                  <c:v>4.6190988799999992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EF-49C8-847B-632121A76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1609632"/>
        <c:axId val="311617312"/>
      </c:lineChart>
      <c:catAx>
        <c:axId val="3116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1617312"/>
        <c:crosses val="autoZero"/>
        <c:auto val="1"/>
        <c:lblAlgn val="ctr"/>
        <c:lblOffset val="100"/>
        <c:noMultiLvlLbl val="0"/>
      </c:catAx>
      <c:valAx>
        <c:axId val="311617312"/>
        <c:scaling>
          <c:orientation val="minMax"/>
          <c:min val="4"/>
        </c:scaling>
        <c:delete val="0"/>
        <c:axPos val="l"/>
        <c:majorGridlines>
          <c:spPr>
            <a:ln w="9525" cap="flat" cmpd="sng" algn="ctr">
              <a:solidFill>
                <a:srgbClr val="00A3E3"/>
              </a:solidFill>
              <a:round/>
            </a:ln>
            <a:effectLst/>
          </c:spPr>
        </c:majorGridlines>
        <c:numFmt formatCode="#,##0;[Red]\(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16096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16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Sum!$E$3</c:f>
              <c:strCache>
                <c:ptCount val="1"/>
                <c:pt idx="0">
                  <c:v>Min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Sum!$B$5</c:f>
              <c:strCache>
                <c:ptCount val="1"/>
                <c:pt idx="0">
                  <c:v>Rain
(mm/d)</c:v>
                </c:pt>
              </c:strCache>
            </c:strRef>
          </c:cat>
          <c:val>
            <c:numRef>
              <c:f>Sum!$E$5</c:f>
              <c:numCache>
                <c:formatCode>#,##0;[Red]\(#,##0\);\-</c:formatCode>
                <c:ptCount val="1"/>
                <c:pt idx="0">
                  <c:v>0.73741129999999999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F-49C8-847B-632121A76BAF}"/>
            </c:ext>
          </c:extLst>
        </c:ser>
        <c:ser>
          <c:idx val="3"/>
          <c:order val="3"/>
          <c:tx>
            <c:strRef>
              <c:f>Sum!$F$3</c:f>
              <c:strCache>
                <c:ptCount val="1"/>
                <c:pt idx="0">
                  <c:v>50Y Range</c:v>
                </c:pt>
              </c:strCache>
            </c:strRef>
          </c:tx>
          <c:spPr>
            <a:solidFill>
              <a:srgbClr val="E67B00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E67B00">
                  <a:lumMod val="75000"/>
                </a:srgb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97EF-49C8-847B-632121A76BAF}"/>
              </c:ext>
            </c:extLst>
          </c:dPt>
          <c:cat>
            <c:strRef>
              <c:f>Sum!$B$5</c:f>
              <c:strCache>
                <c:ptCount val="1"/>
                <c:pt idx="0">
                  <c:v>Rain
(mm/d)</c:v>
                </c:pt>
              </c:strCache>
            </c:strRef>
          </c:cat>
          <c:val>
            <c:numRef>
              <c:f>Sum!$F$5</c:f>
              <c:numCache>
                <c:formatCode>#,##0;[Red]\(#,##0\);\-</c:formatCode>
                <c:ptCount val="1"/>
                <c:pt idx="0">
                  <c:v>1.9338656999999999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F-49C8-847B-632121A76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9"/>
        <c:overlap val="100"/>
        <c:axId val="311609632"/>
        <c:axId val="311617312"/>
      </c:barChart>
      <c:lineChart>
        <c:grouping val="standard"/>
        <c:varyColors val="0"/>
        <c:ser>
          <c:idx val="0"/>
          <c:order val="0"/>
          <c:tx>
            <c:strRef>
              <c:f>Sum!$C$3</c:f>
              <c:strCache>
                <c:ptCount val="1"/>
                <c:pt idx="0">
                  <c:v>01-Apr-26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15"/>
            <c:spPr>
              <a:solidFill>
                <a:srgbClr val="FFFFFF"/>
              </a:solidFill>
              <a:ln w="9525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cat>
            <c:strRef>
              <c:f>Sum!$B$5</c:f>
              <c:strCache>
                <c:ptCount val="1"/>
                <c:pt idx="0">
                  <c:v>Rain
(mm/d)</c:v>
                </c:pt>
              </c:strCache>
            </c:strRef>
          </c:cat>
          <c:val>
            <c:numRef>
              <c:f>Sum!$C$5</c:f>
              <c:numCache>
                <c:formatCode>#,##0;[Red]\(#,##0\);\-</c:formatCode>
                <c:ptCount val="1"/>
                <c:pt idx="0">
                  <c:v>1.2475210000000001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EF-49C8-847B-632121A76BAF}"/>
            </c:ext>
          </c:extLst>
        </c:ser>
        <c:ser>
          <c:idx val="1"/>
          <c:order val="1"/>
          <c:tx>
            <c:strRef>
              <c:f>Sum!$D$3</c:f>
              <c:strCache>
                <c:ptCount val="1"/>
                <c:pt idx="0">
                  <c:v>50Y Avg</c:v>
                </c:pt>
              </c:strCache>
            </c:strRef>
          </c:tx>
          <c:spPr>
            <a:ln w="50800" cap="rnd">
              <a:noFill/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dash"/>
            <c:size val="30"/>
            <c:spPr>
              <a:solidFill>
                <a:srgbClr val="F9B516"/>
              </a:solidFill>
              <a:ln w="9525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cat>
            <c:strRef>
              <c:f>Sum!$B$5</c:f>
              <c:strCache>
                <c:ptCount val="1"/>
                <c:pt idx="0">
                  <c:v>Rain
(mm/d)</c:v>
                </c:pt>
              </c:strCache>
            </c:strRef>
          </c:cat>
          <c:val>
            <c:numRef>
              <c:f>Sum!$D$5</c:f>
              <c:numCache>
                <c:formatCode>#,##0;[Red]\(#,##0\);\-</c:formatCode>
                <c:ptCount val="1"/>
                <c:pt idx="0">
                  <c:v>1.7748912660000002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EF-49C8-847B-632121A76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1609632"/>
        <c:axId val="311617312"/>
      </c:lineChart>
      <c:catAx>
        <c:axId val="3116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1617312"/>
        <c:crosses val="autoZero"/>
        <c:auto val="1"/>
        <c:lblAlgn val="ctr"/>
        <c:lblOffset val="100"/>
        <c:noMultiLvlLbl val="0"/>
      </c:catAx>
      <c:valAx>
        <c:axId val="31161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00A3E3"/>
              </a:solidFill>
              <a:round/>
            </a:ln>
            <a:effectLst/>
          </c:spPr>
        </c:majorGridlines>
        <c:numFmt formatCode="#,##0;[Red]\(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16096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16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Sum!$E$3</c:f>
              <c:strCache>
                <c:ptCount val="1"/>
                <c:pt idx="0">
                  <c:v>Min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Sum!$B$6</c:f>
              <c:strCache>
                <c:ptCount val="1"/>
                <c:pt idx="0">
                  <c:v>Temp
(Deg C)</c:v>
                </c:pt>
              </c:strCache>
            </c:strRef>
          </c:cat>
          <c:val>
            <c:numRef>
              <c:f>Sum!$E$6</c:f>
              <c:numCache>
                <c:formatCode>#,##0;[Red]\(#,##0\);\-</c:formatCode>
                <c:ptCount val="1"/>
                <c:pt idx="0">
                  <c:v>0.71463010000000005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F-49C8-847B-632121A76BAF}"/>
            </c:ext>
          </c:extLst>
        </c:ser>
        <c:ser>
          <c:idx val="3"/>
          <c:order val="3"/>
          <c:tx>
            <c:strRef>
              <c:f>Sum!$F$3</c:f>
              <c:strCache>
                <c:ptCount val="1"/>
                <c:pt idx="0">
                  <c:v>50Y Range</c:v>
                </c:pt>
              </c:strCache>
            </c:strRef>
          </c:tx>
          <c:spPr>
            <a:solidFill>
              <a:srgbClr val="E67B00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E67B00">
                  <a:lumMod val="75000"/>
                </a:srgb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97EF-49C8-847B-632121A76BAF}"/>
              </c:ext>
            </c:extLst>
          </c:dPt>
          <c:cat>
            <c:strRef>
              <c:f>Sum!$B$6</c:f>
              <c:strCache>
                <c:ptCount val="1"/>
                <c:pt idx="0">
                  <c:v>Temp
(Deg C)</c:v>
                </c:pt>
              </c:strCache>
            </c:strRef>
          </c:cat>
          <c:val>
            <c:numRef>
              <c:f>Sum!$F$6</c:f>
              <c:numCache>
                <c:formatCode>#,##0;[Red]\(#,##0\);\-</c:formatCode>
                <c:ptCount val="1"/>
                <c:pt idx="0">
                  <c:v>4.2785948999999999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F-49C8-847B-632121A76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9"/>
        <c:overlap val="100"/>
        <c:axId val="311609632"/>
        <c:axId val="311617312"/>
      </c:barChart>
      <c:lineChart>
        <c:grouping val="standard"/>
        <c:varyColors val="0"/>
        <c:ser>
          <c:idx val="0"/>
          <c:order val="0"/>
          <c:tx>
            <c:strRef>
              <c:f>Sum!$C$3</c:f>
              <c:strCache>
                <c:ptCount val="1"/>
                <c:pt idx="0">
                  <c:v>01-Apr-26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15"/>
            <c:spPr>
              <a:solidFill>
                <a:srgbClr val="FFFFFF"/>
              </a:solidFill>
              <a:ln w="9525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cat>
            <c:strRef>
              <c:f>Sum!$B$6</c:f>
              <c:strCache>
                <c:ptCount val="1"/>
                <c:pt idx="0">
                  <c:v>Temp
(Deg C)</c:v>
                </c:pt>
              </c:strCache>
            </c:strRef>
          </c:cat>
          <c:val>
            <c:numRef>
              <c:f>Sum!$C$6</c:f>
              <c:numCache>
                <c:formatCode>#,##0;[Red]\(#,##0\);\-</c:formatCode>
                <c:ptCount val="1"/>
                <c:pt idx="0">
                  <c:v>4.4375309999999999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EF-49C8-847B-632121A76BAF}"/>
            </c:ext>
          </c:extLst>
        </c:ser>
        <c:ser>
          <c:idx val="1"/>
          <c:order val="1"/>
          <c:tx>
            <c:strRef>
              <c:f>Sum!$D$3</c:f>
              <c:strCache>
                <c:ptCount val="1"/>
                <c:pt idx="0">
                  <c:v>50Y Avg</c:v>
                </c:pt>
              </c:strCache>
            </c:strRef>
          </c:tx>
          <c:spPr>
            <a:ln w="50800" cap="rnd">
              <a:noFill/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dash"/>
            <c:size val="30"/>
            <c:spPr>
              <a:solidFill>
                <a:srgbClr val="F9B516"/>
              </a:solidFill>
              <a:ln w="9525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cat>
            <c:strRef>
              <c:f>Sum!$B$6</c:f>
              <c:strCache>
                <c:ptCount val="1"/>
                <c:pt idx="0">
                  <c:v>Temp
(Deg C)</c:v>
                </c:pt>
              </c:strCache>
            </c:strRef>
          </c:cat>
          <c:val>
            <c:numRef>
              <c:f>Sum!$D$6</c:f>
              <c:numCache>
                <c:formatCode>#,##0;[Red]\(#,##0\);\-</c:formatCode>
                <c:ptCount val="1"/>
                <c:pt idx="0">
                  <c:v>2.9593981639999991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EF-49C8-847B-632121A76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1609632"/>
        <c:axId val="311617312"/>
      </c:lineChart>
      <c:catAx>
        <c:axId val="3116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1617312"/>
        <c:crosses val="autoZero"/>
        <c:auto val="1"/>
        <c:lblAlgn val="ctr"/>
        <c:lblOffset val="100"/>
        <c:noMultiLvlLbl val="0"/>
      </c:catAx>
      <c:valAx>
        <c:axId val="31161731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rgbClr val="00A3E3"/>
              </a:solidFill>
              <a:round/>
            </a:ln>
            <a:effectLst/>
          </c:spPr>
        </c:majorGridlines>
        <c:numFmt formatCode="#,##0;[Red]\(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116096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16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196587</xdr:colOff>
      <xdr:row>71</xdr:row>
      <xdr:rowOff>137629</xdr:rowOff>
    </xdr:from>
    <xdr:to>
      <xdr:col>16</xdr:col>
      <xdr:colOff>201449</xdr:colOff>
      <xdr:row>83</xdr:row>
      <xdr:rowOff>33089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0ADBD9-877B-6F40-87B2-D2C4CF864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446689</xdr:colOff>
      <xdr:row>72</xdr:row>
      <xdr:rowOff>0</xdr:rowOff>
    </xdr:from>
    <xdr:to>
      <xdr:col>24</xdr:col>
      <xdr:colOff>157654</xdr:colOff>
      <xdr:row>83</xdr:row>
      <xdr:rowOff>35598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EEA965-637C-1C43-9084-4798294B7D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</xdr:colOff>
      <xdr:row>71</xdr:row>
      <xdr:rowOff>144517</xdr:rowOff>
    </xdr:from>
    <xdr:to>
      <xdr:col>9</xdr:col>
      <xdr:colOff>324185</xdr:colOff>
      <xdr:row>84</xdr:row>
      <xdr:rowOff>91966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6B5843-ACAC-4408-7D7C-74672716F2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2673" y="10405241"/>
          <a:ext cx="4265564" cy="18261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144038</xdr:colOff>
      <xdr:row>71</xdr:row>
      <xdr:rowOff>32525</xdr:rowOff>
    </xdr:from>
    <xdr:to>
      <xdr:col>21</xdr:col>
      <xdr:colOff>136391</xdr:colOff>
      <xdr:row>82</xdr:row>
      <xdr:rowOff>68123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DC74FB5-6797-4073-BD54-34321A09AF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</xdr:colOff>
      <xdr:row>71</xdr:row>
      <xdr:rowOff>1</xdr:rowOff>
    </xdr:from>
    <xdr:to>
      <xdr:col>8</xdr:col>
      <xdr:colOff>453259</xdr:colOff>
      <xdr:row>83</xdr:row>
      <xdr:rowOff>90410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7C5DF0-2043-09B2-B937-39AEB9EC1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2673" y="10260725"/>
          <a:ext cx="3901965" cy="182461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72</xdr:row>
      <xdr:rowOff>0</xdr:rowOff>
    </xdr:from>
    <xdr:to>
      <xdr:col>14</xdr:col>
      <xdr:colOff>88200</xdr:colOff>
      <xdr:row>83</xdr:row>
      <xdr:rowOff>85450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14176D-8A55-4159-834C-57D3F8E7EE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444501</xdr:colOff>
      <xdr:row>73</xdr:row>
      <xdr:rowOff>76200</xdr:rowOff>
    </xdr:from>
    <xdr:to>
      <xdr:col>7</xdr:col>
      <xdr:colOff>306389</xdr:colOff>
      <xdr:row>82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BF55FEF-9DD5-0DEF-C37F-F7E8C2A023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9801" y="13658850"/>
          <a:ext cx="2833688" cy="13335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494109</xdr:colOff>
      <xdr:row>0</xdr:row>
      <xdr:rowOff>142874</xdr:rowOff>
    </xdr:from>
    <xdr:to>
      <xdr:col>9</xdr:col>
      <xdr:colOff>415781</xdr:colOff>
      <xdr:row>12</xdr:row>
      <xdr:rowOff>267749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BB354A-0CDB-4C83-ACA4-678F8F7131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12</xdr:col>
      <xdr:colOff>414732</xdr:colOff>
      <xdr:row>12</xdr:row>
      <xdr:rowOff>270551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ED93B5F-EA4A-4A4B-9E5E-DC3B242146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15</xdr:col>
      <xdr:colOff>414733</xdr:colOff>
      <xdr:row>13</xdr:row>
      <xdr:rowOff>1049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20A421-D904-4E7F-A4ED-BAC10D76CA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rron">
      <a:dk1>
        <a:srgbClr val="404040"/>
      </a:dk1>
      <a:lt1>
        <a:srgbClr val="FFFFFF"/>
      </a:lt1>
      <a:dk2>
        <a:srgbClr val="B43B39"/>
      </a:dk2>
      <a:lt2>
        <a:srgbClr val="E67B00"/>
      </a:lt2>
      <a:accent1>
        <a:srgbClr val="F9B516"/>
      </a:accent1>
      <a:accent2>
        <a:srgbClr val="64BA87"/>
      </a:accent2>
      <a:accent3>
        <a:srgbClr val="008382"/>
      </a:accent3>
      <a:accent4>
        <a:srgbClr val="005959"/>
      </a:accent4>
      <a:accent5>
        <a:srgbClr val="0099FF"/>
      </a:accent5>
      <a:accent6>
        <a:srgbClr val="00A3E3"/>
      </a:accent6>
      <a:hlink>
        <a:srgbClr val="002127"/>
      </a:hlink>
      <a:folHlink>
        <a:srgbClr val="B2B2B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rron">
    <a:dk1>
      <a:srgbClr val="404040"/>
    </a:dk1>
    <a:lt1>
      <a:srgbClr val="FFFFFF"/>
    </a:lt1>
    <a:dk2>
      <a:srgbClr val="B43B39"/>
    </a:dk2>
    <a:lt2>
      <a:srgbClr val="E67B00"/>
    </a:lt2>
    <a:accent1>
      <a:srgbClr val="F9B516"/>
    </a:accent1>
    <a:accent2>
      <a:srgbClr val="64BA87"/>
    </a:accent2>
    <a:accent3>
      <a:srgbClr val="008382"/>
    </a:accent3>
    <a:accent4>
      <a:srgbClr val="005959"/>
    </a:accent4>
    <a:accent5>
      <a:srgbClr val="0099FF"/>
    </a:accent5>
    <a:accent6>
      <a:srgbClr val="00A3E3"/>
    </a:accent6>
    <a:hlink>
      <a:srgbClr val="002127"/>
    </a:hlink>
    <a:folHlink>
      <a:srgbClr val="B2B2B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rron">
    <a:dk1>
      <a:srgbClr val="404040"/>
    </a:dk1>
    <a:lt1>
      <a:srgbClr val="FFFFFF"/>
    </a:lt1>
    <a:dk2>
      <a:srgbClr val="B43B39"/>
    </a:dk2>
    <a:lt2>
      <a:srgbClr val="E67B00"/>
    </a:lt2>
    <a:accent1>
      <a:srgbClr val="F9B516"/>
    </a:accent1>
    <a:accent2>
      <a:srgbClr val="64BA87"/>
    </a:accent2>
    <a:accent3>
      <a:srgbClr val="008382"/>
    </a:accent3>
    <a:accent4>
      <a:srgbClr val="005959"/>
    </a:accent4>
    <a:accent5>
      <a:srgbClr val="0099FF"/>
    </a:accent5>
    <a:accent6>
      <a:srgbClr val="00A3E3"/>
    </a:accent6>
    <a:hlink>
      <a:srgbClr val="002127"/>
    </a:hlink>
    <a:folHlink>
      <a:srgbClr val="B2B2B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rron">
    <a:dk1>
      <a:srgbClr val="404040"/>
    </a:dk1>
    <a:lt1>
      <a:srgbClr val="FFFFFF"/>
    </a:lt1>
    <a:dk2>
      <a:srgbClr val="B43B39"/>
    </a:dk2>
    <a:lt2>
      <a:srgbClr val="E67B00"/>
    </a:lt2>
    <a:accent1>
      <a:srgbClr val="F9B516"/>
    </a:accent1>
    <a:accent2>
      <a:srgbClr val="64BA87"/>
    </a:accent2>
    <a:accent3>
      <a:srgbClr val="008382"/>
    </a:accent3>
    <a:accent4>
      <a:srgbClr val="005959"/>
    </a:accent4>
    <a:accent5>
      <a:srgbClr val="0099FF"/>
    </a:accent5>
    <a:accent6>
      <a:srgbClr val="00A3E3"/>
    </a:accent6>
    <a:hlink>
      <a:srgbClr val="002127"/>
    </a:hlink>
    <a:folHlink>
      <a:srgbClr val="B2B2B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0962B-56C0-024F-B5D8-1CCCB33E2A44}">
  <sheetPr>
    <tabColor theme="9"/>
  </sheetPr>
  <dimension ref="B2:AC96"/>
  <sheetViews>
    <sheetView topLeftCell="A53" zoomScale="145" zoomScaleNormal="145" workbookViewId="0">
      <selection activeCell="G69" sqref="G69"/>
    </sheetView>
  </sheetViews>
  <sheetFormatPr defaultColWidth="8.6640625" defaultRowHeight="11.25" x14ac:dyDescent="0.2"/>
  <sheetData>
    <row r="2" spans="3:29" x14ac:dyDescent="0.2">
      <c r="C2" s="1"/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4</v>
      </c>
    </row>
    <row r="3" spans="3:29" x14ac:dyDescent="0.2">
      <c r="C3" t="s">
        <v>2</v>
      </c>
      <c r="D3">
        <v>31</v>
      </c>
      <c r="E3">
        <v>28</v>
      </c>
      <c r="F3">
        <v>31</v>
      </c>
      <c r="G3">
        <v>30</v>
      </c>
      <c r="H3">
        <v>31</v>
      </c>
      <c r="I3">
        <v>30</v>
      </c>
      <c r="J3">
        <v>31</v>
      </c>
      <c r="K3">
        <v>31</v>
      </c>
      <c r="L3">
        <v>30</v>
      </c>
      <c r="M3">
        <v>31</v>
      </c>
      <c r="N3">
        <v>30</v>
      </c>
      <c r="O3">
        <v>31</v>
      </c>
      <c r="P3">
        <f>SUM(D3:O3)</f>
        <v>365</v>
      </c>
    </row>
    <row r="4" spans="3:29" x14ac:dyDescent="0.2">
      <c r="C4" t="s">
        <v>3</v>
      </c>
      <c r="D4">
        <f>D3*24</f>
        <v>744</v>
      </c>
      <c r="E4">
        <f t="shared" ref="E4:O4" si="0">E3*24</f>
        <v>672</v>
      </c>
      <c r="F4">
        <f t="shared" si="0"/>
        <v>744</v>
      </c>
      <c r="G4">
        <f t="shared" si="0"/>
        <v>720</v>
      </c>
      <c r="H4">
        <f t="shared" si="0"/>
        <v>744</v>
      </c>
      <c r="I4">
        <f t="shared" si="0"/>
        <v>720</v>
      </c>
      <c r="J4">
        <f t="shared" si="0"/>
        <v>744</v>
      </c>
      <c r="K4">
        <f t="shared" si="0"/>
        <v>744</v>
      </c>
      <c r="L4">
        <f t="shared" si="0"/>
        <v>720</v>
      </c>
      <c r="M4">
        <f t="shared" si="0"/>
        <v>744</v>
      </c>
      <c r="N4">
        <f t="shared" si="0"/>
        <v>720</v>
      </c>
      <c r="O4">
        <f t="shared" si="0"/>
        <v>744</v>
      </c>
      <c r="P4">
        <f>SUM(D4:O4)</f>
        <v>8760</v>
      </c>
    </row>
    <row r="5" spans="3:29" x14ac:dyDescent="0.2">
      <c r="C5" t="s">
        <v>1</v>
      </c>
      <c r="D5">
        <f>1</f>
        <v>1</v>
      </c>
      <c r="E5">
        <f>D5+1</f>
        <v>2</v>
      </c>
      <c r="F5">
        <f t="shared" ref="F5:O5" si="1">E5+1</f>
        <v>3</v>
      </c>
      <c r="G5">
        <f t="shared" si="1"/>
        <v>4</v>
      </c>
      <c r="H5">
        <f t="shared" si="1"/>
        <v>5</v>
      </c>
      <c r="I5">
        <f t="shared" si="1"/>
        <v>6</v>
      </c>
      <c r="J5">
        <f t="shared" si="1"/>
        <v>7</v>
      </c>
      <c r="K5">
        <f t="shared" si="1"/>
        <v>8</v>
      </c>
      <c r="L5">
        <f t="shared" si="1"/>
        <v>9</v>
      </c>
      <c r="M5">
        <f t="shared" si="1"/>
        <v>10</v>
      </c>
      <c r="N5">
        <f t="shared" si="1"/>
        <v>11</v>
      </c>
      <c r="O5">
        <f t="shared" si="1"/>
        <v>12</v>
      </c>
    </row>
    <row r="8" spans="3:29" x14ac:dyDescent="0.2">
      <c r="C8" s="13" t="s">
        <v>4</v>
      </c>
      <c r="D8" s="2" t="str">
        <f>D$2</f>
        <v>Jan</v>
      </c>
      <c r="E8" s="2" t="str">
        <f t="shared" ref="E8:P8" si="2">E$2</f>
        <v>Feb</v>
      </c>
      <c r="F8" s="2" t="str">
        <f t="shared" si="2"/>
        <v>Mar</v>
      </c>
      <c r="G8" s="2" t="str">
        <f t="shared" si="2"/>
        <v>Apr</v>
      </c>
      <c r="H8" s="2" t="str">
        <f t="shared" si="2"/>
        <v>May</v>
      </c>
      <c r="I8" s="2" t="str">
        <f t="shared" si="2"/>
        <v>Jun</v>
      </c>
      <c r="J8" s="2" t="str">
        <f t="shared" si="2"/>
        <v>Jul</v>
      </c>
      <c r="K8" s="2" t="str">
        <f t="shared" si="2"/>
        <v>Aug</v>
      </c>
      <c r="L8" s="2" t="str">
        <f t="shared" si="2"/>
        <v>Sep</v>
      </c>
      <c r="M8" s="2" t="str">
        <f t="shared" si="2"/>
        <v>Oct</v>
      </c>
      <c r="N8" s="2" t="str">
        <f t="shared" si="2"/>
        <v>Nov</v>
      </c>
      <c r="O8" s="2" t="str">
        <f t="shared" si="2"/>
        <v>Dec</v>
      </c>
      <c r="P8" t="str">
        <f t="shared" si="2"/>
        <v>Total</v>
      </c>
    </row>
    <row r="9" spans="3:29" x14ac:dyDescent="0.2">
      <c r="C9" s="10">
        <v>1970</v>
      </c>
      <c r="D9" s="15">
        <v>4.9802780000000002</v>
      </c>
      <c r="E9" s="15">
        <v>4.8218040000000002</v>
      </c>
      <c r="F9" s="15">
        <v>4.9515570000000002</v>
      </c>
      <c r="G9" s="15">
        <v>4.5434369999999999</v>
      </c>
      <c r="H9" s="15">
        <v>4.0846070000000001</v>
      </c>
      <c r="I9" s="15">
        <v>3.8642780000000001</v>
      </c>
      <c r="J9" s="15">
        <v>4.578557</v>
      </c>
      <c r="K9" s="15">
        <v>4.0301720000000003</v>
      </c>
      <c r="L9" s="15">
        <v>5.0910120000000001</v>
      </c>
      <c r="M9" s="15">
        <v>5.3011439999999999</v>
      </c>
      <c r="N9" s="15">
        <v>5.3440789999999998</v>
      </c>
      <c r="O9" s="15">
        <v>5.5488059999999999</v>
      </c>
      <c r="Q9" t="s">
        <v>0</v>
      </c>
      <c r="R9" t="s">
        <v>5</v>
      </c>
      <c r="S9" t="s">
        <v>6</v>
      </c>
      <c r="T9" t="s">
        <v>7</v>
      </c>
      <c r="U9" t="s">
        <v>8</v>
      </c>
      <c r="V9" t="s">
        <v>9</v>
      </c>
      <c r="W9" t="s">
        <v>10</v>
      </c>
      <c r="X9" t="s">
        <v>11</v>
      </c>
      <c r="Y9" t="s">
        <v>12</v>
      </c>
      <c r="Z9" t="s">
        <v>13</v>
      </c>
      <c r="AA9" t="s">
        <v>14</v>
      </c>
      <c r="AB9" t="s">
        <v>15</v>
      </c>
      <c r="AC9" t="s">
        <v>16</v>
      </c>
    </row>
    <row r="10" spans="3:29" x14ac:dyDescent="0.2">
      <c r="C10" s="10">
        <v>1971</v>
      </c>
      <c r="D10" s="15">
        <v>5.3201679999999998</v>
      </c>
      <c r="E10" s="15">
        <v>5.7609849999999998</v>
      </c>
      <c r="F10" s="15">
        <v>5.0227079999999997</v>
      </c>
      <c r="G10" s="15">
        <v>4.6778000000000004</v>
      </c>
      <c r="H10" s="15">
        <v>4.1415759999999997</v>
      </c>
      <c r="I10" s="15">
        <v>4.0033079999999996</v>
      </c>
      <c r="J10" s="15">
        <v>4.205336</v>
      </c>
      <c r="K10" s="15">
        <v>4.4347479999999999</v>
      </c>
      <c r="L10" s="15">
        <v>4.7819969999999996</v>
      </c>
      <c r="M10" s="15">
        <v>5.7015120000000001</v>
      </c>
      <c r="N10" s="15">
        <v>5.916226</v>
      </c>
      <c r="O10" s="15">
        <v>6.0048659999999998</v>
      </c>
      <c r="Q10">
        <v>1950</v>
      </c>
      <c r="R10">
        <v>5.0709999999999997</v>
      </c>
      <c r="S10">
        <v>5.0224000000000002</v>
      </c>
      <c r="T10">
        <v>5.3295519999999996</v>
      </c>
      <c r="U10">
        <v>4.768948</v>
      </c>
      <c r="V10">
        <v>4.1163850000000002</v>
      </c>
      <c r="W10">
        <v>4.0288589999999997</v>
      </c>
      <c r="X10">
        <v>3.9898790000000002</v>
      </c>
      <c r="Y10">
        <v>3.8969140000000002</v>
      </c>
      <c r="Z10">
        <v>4.7688370000000004</v>
      </c>
      <c r="AA10">
        <v>5.2663349999999998</v>
      </c>
      <c r="AB10">
        <v>4.9586370000000004</v>
      </c>
      <c r="AC10">
        <v>4.9218929999999999</v>
      </c>
    </row>
    <row r="11" spans="3:29" x14ac:dyDescent="0.2">
      <c r="C11" s="10">
        <v>1972</v>
      </c>
      <c r="D11" s="15">
        <v>5.3018450000000001</v>
      </c>
      <c r="E11" s="15">
        <v>4.5020069999999999</v>
      </c>
      <c r="F11" s="15">
        <v>5.6342720000000002</v>
      </c>
      <c r="G11" s="15">
        <v>4.581753</v>
      </c>
      <c r="H11" s="15">
        <v>3.994275</v>
      </c>
      <c r="I11" s="15">
        <v>4.0029669999999999</v>
      </c>
      <c r="J11" s="15">
        <v>3.7783730000000002</v>
      </c>
      <c r="K11" s="15">
        <v>4.5303630000000004</v>
      </c>
      <c r="L11" s="15">
        <v>4.6092380000000004</v>
      </c>
      <c r="M11" s="15">
        <v>5.1523560000000002</v>
      </c>
      <c r="N11" s="15">
        <v>5.6468819999999997</v>
      </c>
      <c r="O11" s="15">
        <v>6.0832899999999999</v>
      </c>
      <c r="Q11">
        <v>1951</v>
      </c>
      <c r="R11">
        <v>4.9446649999999996</v>
      </c>
      <c r="S11">
        <v>5.1292960000000001</v>
      </c>
      <c r="T11">
        <v>4.4940249999999997</v>
      </c>
      <c r="U11">
        <v>4.9630029999999996</v>
      </c>
      <c r="V11">
        <v>3.8707379999999998</v>
      </c>
      <c r="W11">
        <v>3.9503819999999998</v>
      </c>
      <c r="X11">
        <v>4.2326790000000001</v>
      </c>
      <c r="Y11">
        <v>4.1618979999999999</v>
      </c>
      <c r="Z11">
        <v>4.248272</v>
      </c>
      <c r="AA11">
        <v>4.6978530000000003</v>
      </c>
      <c r="AB11">
        <v>5.5718899999999998</v>
      </c>
      <c r="AC11">
        <v>6.0015080000000003</v>
      </c>
    </row>
    <row r="12" spans="3:29" x14ac:dyDescent="0.2">
      <c r="C12" s="10">
        <v>1973</v>
      </c>
      <c r="D12" s="15">
        <v>5.5226139999999999</v>
      </c>
      <c r="E12" s="15">
        <v>5.3090060000000001</v>
      </c>
      <c r="F12" s="15">
        <v>5.1140169999999996</v>
      </c>
      <c r="G12" s="15">
        <v>4.8883010000000002</v>
      </c>
      <c r="H12" s="15">
        <v>4.3199880000000004</v>
      </c>
      <c r="I12" s="15">
        <v>4.3821279999999998</v>
      </c>
      <c r="J12" s="15">
        <v>3.7755960000000002</v>
      </c>
      <c r="K12" s="15">
        <v>4.597925</v>
      </c>
      <c r="L12" s="15">
        <v>4.757098</v>
      </c>
      <c r="M12" s="15">
        <v>4.9310470000000004</v>
      </c>
      <c r="N12" s="15">
        <v>6.0403229999999999</v>
      </c>
      <c r="O12" s="15">
        <v>5.7945200000000003</v>
      </c>
      <c r="Q12">
        <v>1952</v>
      </c>
      <c r="R12">
        <v>5.2071680000000002</v>
      </c>
      <c r="S12">
        <v>4.7158749999999996</v>
      </c>
      <c r="T12">
        <v>4.6402460000000003</v>
      </c>
      <c r="U12">
        <v>4.4801060000000001</v>
      </c>
      <c r="V12">
        <v>4.2559370000000003</v>
      </c>
      <c r="W12">
        <v>4.2251310000000002</v>
      </c>
      <c r="X12">
        <v>4.2565739999999996</v>
      </c>
      <c r="Y12">
        <v>4.3072900000000001</v>
      </c>
      <c r="Z12">
        <v>4.7716269999999996</v>
      </c>
      <c r="AA12">
        <v>4.5625780000000002</v>
      </c>
      <c r="AB12">
        <v>4.4176359999999999</v>
      </c>
      <c r="AC12">
        <v>4.8040880000000001</v>
      </c>
    </row>
    <row r="13" spans="3:29" x14ac:dyDescent="0.2">
      <c r="C13" s="10">
        <v>1974</v>
      </c>
      <c r="D13" s="15">
        <v>5.9417609999999996</v>
      </c>
      <c r="E13" s="15">
        <v>5.0916740000000003</v>
      </c>
      <c r="F13" s="15">
        <v>4.4688790000000003</v>
      </c>
      <c r="G13" s="15">
        <v>4.3368840000000004</v>
      </c>
      <c r="H13" s="15">
        <v>3.9816150000000001</v>
      </c>
      <c r="I13" s="15">
        <v>3.9370639999999999</v>
      </c>
      <c r="J13" s="15">
        <v>4.4347890000000003</v>
      </c>
      <c r="K13" s="15">
        <v>3.973814</v>
      </c>
      <c r="L13" s="15">
        <v>5.1534760000000004</v>
      </c>
      <c r="M13" s="15">
        <v>4.8651910000000003</v>
      </c>
      <c r="N13" s="15">
        <v>5.1565409999999998</v>
      </c>
      <c r="O13" s="15">
        <v>6.0592920000000001</v>
      </c>
      <c r="Q13">
        <v>1953</v>
      </c>
      <c r="R13">
        <v>5.4338410000000001</v>
      </c>
      <c r="S13">
        <v>5.398854</v>
      </c>
      <c r="T13">
        <v>5.8788200000000002</v>
      </c>
      <c r="U13">
        <v>4.7919929999999997</v>
      </c>
      <c r="V13">
        <v>4.0451990000000002</v>
      </c>
      <c r="W13">
        <v>3.4429609999999999</v>
      </c>
      <c r="X13">
        <v>4.0787009999999997</v>
      </c>
      <c r="Y13">
        <v>4.3504899999999997</v>
      </c>
      <c r="Z13">
        <v>4.6581849999999996</v>
      </c>
      <c r="AA13">
        <v>4.9661179999999998</v>
      </c>
      <c r="AB13">
        <v>5.9839799999999999</v>
      </c>
      <c r="AC13">
        <v>4.9565630000000001</v>
      </c>
    </row>
    <row r="14" spans="3:29" x14ac:dyDescent="0.2">
      <c r="C14" s="10">
        <v>1975</v>
      </c>
      <c r="D14" s="15">
        <v>6.3259800000000004</v>
      </c>
      <c r="E14" s="15">
        <v>5.5798030000000001</v>
      </c>
      <c r="F14" s="15">
        <v>4.6219029999999997</v>
      </c>
      <c r="G14" s="15">
        <v>4.6003239999999996</v>
      </c>
      <c r="H14" s="15">
        <v>4.6016360000000001</v>
      </c>
      <c r="I14" s="15">
        <v>4.444839</v>
      </c>
      <c r="J14" s="15">
        <v>4.0759840000000001</v>
      </c>
      <c r="K14" s="15">
        <v>3.9436819999999999</v>
      </c>
      <c r="L14" s="15">
        <v>5.7254849999999999</v>
      </c>
      <c r="M14" s="15">
        <v>5.2369329999999996</v>
      </c>
      <c r="N14" s="15">
        <v>5.4563680000000003</v>
      </c>
      <c r="O14" s="15">
        <v>6.9448239999999997</v>
      </c>
      <c r="Q14">
        <v>1954</v>
      </c>
      <c r="R14">
        <v>5.6524979999999996</v>
      </c>
      <c r="S14">
        <v>5.070557</v>
      </c>
      <c r="T14">
        <v>4.7317689999999999</v>
      </c>
      <c r="U14">
        <v>4.4447469999999996</v>
      </c>
      <c r="V14">
        <v>3.862412</v>
      </c>
      <c r="W14">
        <v>4.2703199999999999</v>
      </c>
      <c r="X14">
        <v>4.0200889999999996</v>
      </c>
      <c r="Y14">
        <v>4.4295549999999997</v>
      </c>
      <c r="Z14">
        <v>4.8844370000000001</v>
      </c>
      <c r="AA14">
        <v>5.0716859999999997</v>
      </c>
      <c r="AB14">
        <v>5.3141670000000003</v>
      </c>
      <c r="AC14">
        <v>5.511514</v>
      </c>
    </row>
    <row r="15" spans="3:29" x14ac:dyDescent="0.2">
      <c r="C15" s="10">
        <v>1976</v>
      </c>
      <c r="D15" s="15">
        <v>5.4755339999999997</v>
      </c>
      <c r="E15" s="15">
        <v>5.5138040000000004</v>
      </c>
      <c r="F15" s="15">
        <v>4.9394669999999996</v>
      </c>
      <c r="G15" s="15">
        <v>5.0109199999999996</v>
      </c>
      <c r="H15" s="15">
        <v>3.9954589999999999</v>
      </c>
      <c r="I15" s="15">
        <v>4.4206880000000002</v>
      </c>
      <c r="J15" s="15">
        <v>4.0456479999999999</v>
      </c>
      <c r="K15" s="15">
        <v>4.0959459999999996</v>
      </c>
      <c r="L15" s="15">
        <v>4.5848060000000004</v>
      </c>
      <c r="M15" s="15">
        <v>5.115583</v>
      </c>
      <c r="N15" s="15">
        <v>5.3981560000000002</v>
      </c>
      <c r="O15" s="15">
        <v>5.2987349999999998</v>
      </c>
      <c r="Q15">
        <v>1955</v>
      </c>
      <c r="R15">
        <v>5.3355800000000002</v>
      </c>
      <c r="S15">
        <v>4.1724170000000003</v>
      </c>
      <c r="T15">
        <v>4.9786149999999996</v>
      </c>
      <c r="U15">
        <v>4.7231189999999996</v>
      </c>
      <c r="V15">
        <v>4.7103640000000002</v>
      </c>
      <c r="W15">
        <v>3.9881600000000001</v>
      </c>
      <c r="X15">
        <v>4.0653329999999999</v>
      </c>
      <c r="Y15">
        <v>3.647653</v>
      </c>
      <c r="Z15">
        <v>4.5852719999999998</v>
      </c>
      <c r="AA15">
        <v>5.1430860000000003</v>
      </c>
      <c r="AB15">
        <v>5.3030099999999996</v>
      </c>
      <c r="AC15">
        <v>5.4863179999999998</v>
      </c>
    </row>
    <row r="16" spans="3:29" x14ac:dyDescent="0.2">
      <c r="C16" s="10">
        <v>1977</v>
      </c>
      <c r="D16" s="15">
        <v>5.0948130000000003</v>
      </c>
      <c r="E16" s="15">
        <v>4.4468259999999997</v>
      </c>
      <c r="F16" s="15">
        <v>5.0156840000000003</v>
      </c>
      <c r="G16" s="15">
        <v>4.9718359999999997</v>
      </c>
      <c r="H16" s="15">
        <v>4.1054399999999998</v>
      </c>
      <c r="I16" s="15">
        <v>4.2639240000000003</v>
      </c>
      <c r="J16" s="15">
        <v>4.3062680000000002</v>
      </c>
      <c r="K16" s="15">
        <v>4.0260109999999996</v>
      </c>
      <c r="L16" s="15">
        <v>5.311318</v>
      </c>
      <c r="M16" s="15">
        <v>5.0415749999999999</v>
      </c>
      <c r="N16" s="15">
        <v>5.581302</v>
      </c>
      <c r="O16" s="15">
        <v>5.75943</v>
      </c>
      <c r="Q16">
        <v>1956</v>
      </c>
      <c r="R16">
        <v>5.1317640000000004</v>
      </c>
      <c r="S16">
        <v>5.2050910000000004</v>
      </c>
      <c r="T16">
        <v>4.771102</v>
      </c>
      <c r="U16">
        <v>4.2010870000000002</v>
      </c>
      <c r="V16">
        <v>4.2544519999999997</v>
      </c>
      <c r="W16">
        <v>4.4535869999999997</v>
      </c>
      <c r="X16">
        <v>3.9832239999999999</v>
      </c>
      <c r="Y16">
        <v>4.4114599999999999</v>
      </c>
      <c r="Z16">
        <v>4.7215030000000002</v>
      </c>
      <c r="AA16">
        <v>5.3829279999999997</v>
      </c>
      <c r="AB16">
        <v>4.9748270000000003</v>
      </c>
      <c r="AC16">
        <v>5.340255</v>
      </c>
    </row>
    <row r="17" spans="3:29" x14ac:dyDescent="0.2">
      <c r="C17" s="10">
        <v>1978</v>
      </c>
      <c r="D17" s="15">
        <v>5.5948599999999997</v>
      </c>
      <c r="E17" s="15">
        <v>5.0029250000000003</v>
      </c>
      <c r="F17" s="15">
        <v>4.9763500000000001</v>
      </c>
      <c r="G17" s="15">
        <v>4.5320340000000003</v>
      </c>
      <c r="H17" s="15">
        <v>4.0651719999999996</v>
      </c>
      <c r="I17" s="15">
        <v>4.1822109999999997</v>
      </c>
      <c r="J17" s="15">
        <v>3.8157990000000002</v>
      </c>
      <c r="K17" s="15">
        <v>4.240659</v>
      </c>
      <c r="L17" s="15">
        <v>5.0776459999999997</v>
      </c>
      <c r="M17" s="15">
        <v>5.5275470000000002</v>
      </c>
      <c r="N17" s="15">
        <v>6.4108960000000002</v>
      </c>
      <c r="O17" s="15">
        <v>4.9021499999999998</v>
      </c>
      <c r="Q17">
        <v>1957</v>
      </c>
      <c r="R17">
        <v>5.9331810000000003</v>
      </c>
      <c r="S17">
        <v>4.5304419999999999</v>
      </c>
      <c r="T17">
        <v>4.8369439999999999</v>
      </c>
      <c r="U17">
        <v>4.3497820000000003</v>
      </c>
      <c r="V17">
        <v>4.3881490000000003</v>
      </c>
      <c r="W17">
        <v>4.3035779999999999</v>
      </c>
      <c r="X17">
        <v>3.6782629999999998</v>
      </c>
      <c r="Y17">
        <v>4.1001149999999997</v>
      </c>
      <c r="Z17">
        <v>4.8330409999999997</v>
      </c>
      <c r="AA17">
        <v>5.4843140000000004</v>
      </c>
      <c r="AB17">
        <v>5.2847400000000002</v>
      </c>
      <c r="AC17">
        <v>5.808745</v>
      </c>
    </row>
    <row r="18" spans="3:29" x14ac:dyDescent="0.2">
      <c r="C18" s="10">
        <v>1979</v>
      </c>
      <c r="D18" s="15">
        <v>4.9472440000000004</v>
      </c>
      <c r="E18" s="15">
        <v>5.2842450000000003</v>
      </c>
      <c r="F18" s="15">
        <v>5.6415170000000003</v>
      </c>
      <c r="G18" s="15">
        <v>4.1687279999999998</v>
      </c>
      <c r="H18" s="15">
        <v>4.7028100000000004</v>
      </c>
      <c r="I18" s="15">
        <v>4.0719969999999996</v>
      </c>
      <c r="J18" s="15">
        <v>3.9472830000000001</v>
      </c>
      <c r="K18" s="15">
        <v>4.2455439999999998</v>
      </c>
      <c r="L18" s="15">
        <v>5.2451939999999997</v>
      </c>
      <c r="M18" s="15">
        <v>4.8565339999999999</v>
      </c>
      <c r="N18" s="15">
        <v>5.3008410000000001</v>
      </c>
      <c r="O18" s="15">
        <v>5.6887270000000001</v>
      </c>
      <c r="Q18">
        <v>1958</v>
      </c>
      <c r="R18">
        <v>5.4223119999999998</v>
      </c>
      <c r="S18">
        <v>5.1397680000000001</v>
      </c>
      <c r="T18">
        <v>4.3905399999999997</v>
      </c>
      <c r="U18">
        <v>4.5061390000000001</v>
      </c>
      <c r="V18">
        <v>4.470815</v>
      </c>
      <c r="W18">
        <v>3.7515000000000001</v>
      </c>
      <c r="X18">
        <v>4.4252500000000001</v>
      </c>
      <c r="Y18">
        <v>3.9667319999999999</v>
      </c>
      <c r="Z18">
        <v>4.1488269999999998</v>
      </c>
      <c r="AA18">
        <v>5.0075010000000004</v>
      </c>
      <c r="AB18">
        <v>5.1644059999999996</v>
      </c>
      <c r="AC18">
        <v>4.798845</v>
      </c>
    </row>
    <row r="19" spans="3:29" x14ac:dyDescent="0.2">
      <c r="C19" s="10">
        <v>1980</v>
      </c>
      <c r="D19" s="15">
        <v>4.995241</v>
      </c>
      <c r="E19" s="15">
        <v>4.6495249999999997</v>
      </c>
      <c r="F19" s="15">
        <v>4.6593749999999998</v>
      </c>
      <c r="G19" s="15">
        <v>4.3341099999999999</v>
      </c>
      <c r="H19" s="15">
        <v>4.0189640000000004</v>
      </c>
      <c r="I19" s="15">
        <v>3.9275410000000002</v>
      </c>
      <c r="J19" s="15">
        <v>3.7058610000000001</v>
      </c>
      <c r="K19" s="15">
        <v>4.1405310000000002</v>
      </c>
      <c r="L19" s="15">
        <v>4.4247820000000004</v>
      </c>
      <c r="M19" s="15">
        <v>5.5002019999999998</v>
      </c>
      <c r="N19" s="15">
        <v>5.5724349999999996</v>
      </c>
      <c r="O19" s="15">
        <v>5.8829589999999996</v>
      </c>
      <c r="Q19">
        <v>1959</v>
      </c>
      <c r="R19">
        <v>5.3994309999999999</v>
      </c>
      <c r="S19">
        <v>6.0335749999999999</v>
      </c>
      <c r="T19">
        <v>4.8730560000000001</v>
      </c>
      <c r="U19">
        <v>4.6939299999999999</v>
      </c>
      <c r="V19">
        <v>4.2026399999999997</v>
      </c>
      <c r="W19">
        <v>4.4149729999999998</v>
      </c>
      <c r="X19">
        <v>3.8679739999999998</v>
      </c>
      <c r="Y19">
        <v>4.3913349999999998</v>
      </c>
      <c r="Z19">
        <v>4.7878069999999999</v>
      </c>
      <c r="AA19">
        <v>4.7032350000000003</v>
      </c>
      <c r="AB19">
        <v>5.2477590000000003</v>
      </c>
      <c r="AC19">
        <v>5.7302569999999999</v>
      </c>
    </row>
    <row r="20" spans="3:29" x14ac:dyDescent="0.2">
      <c r="C20" s="10">
        <v>1981</v>
      </c>
      <c r="D20" s="15">
        <v>6.0227930000000001</v>
      </c>
      <c r="E20" s="15">
        <v>5.2406949999999997</v>
      </c>
      <c r="F20" s="15">
        <v>4.9243410000000001</v>
      </c>
      <c r="G20" s="15">
        <v>4.8136770000000002</v>
      </c>
      <c r="H20" s="15">
        <v>3.8375300000000001</v>
      </c>
      <c r="I20" s="15">
        <v>4.5253370000000004</v>
      </c>
      <c r="J20" s="15">
        <v>4.105982</v>
      </c>
      <c r="K20" s="15">
        <v>4.1252789999999999</v>
      </c>
      <c r="L20" s="15">
        <v>4.3335920000000003</v>
      </c>
      <c r="M20" s="15">
        <v>5.2331089999999998</v>
      </c>
      <c r="N20" s="15">
        <v>5.842536</v>
      </c>
      <c r="O20" s="15">
        <v>5.4013809999999998</v>
      </c>
      <c r="Q20">
        <v>1960</v>
      </c>
      <c r="R20">
        <v>5.145492</v>
      </c>
      <c r="S20">
        <v>5.3309199999999999</v>
      </c>
      <c r="T20">
        <v>4.4197439999999997</v>
      </c>
      <c r="U20">
        <v>4.8203060000000004</v>
      </c>
      <c r="V20">
        <v>3.582967</v>
      </c>
      <c r="W20">
        <v>4.0185740000000001</v>
      </c>
      <c r="X20">
        <v>3.8651460000000002</v>
      </c>
      <c r="Y20">
        <v>4.0573519999999998</v>
      </c>
      <c r="Z20">
        <v>4.3872549999999997</v>
      </c>
      <c r="AA20">
        <v>4.1381040000000002</v>
      </c>
      <c r="AB20">
        <v>4.8787060000000002</v>
      </c>
      <c r="AC20">
        <v>5.0791700000000004</v>
      </c>
    </row>
    <row r="21" spans="3:29" x14ac:dyDescent="0.2">
      <c r="C21" s="10">
        <v>1982</v>
      </c>
      <c r="D21" s="15">
        <v>5.3720049999999997</v>
      </c>
      <c r="E21" s="15">
        <v>5.1578160000000004</v>
      </c>
      <c r="F21" s="15">
        <v>5.4194950000000004</v>
      </c>
      <c r="G21" s="15">
        <v>5.2065859999999997</v>
      </c>
      <c r="H21" s="15">
        <v>4.4568110000000001</v>
      </c>
      <c r="I21" s="15">
        <v>4.095669</v>
      </c>
      <c r="J21" s="15">
        <v>4.2171880000000002</v>
      </c>
      <c r="K21" s="15">
        <v>4.3356180000000002</v>
      </c>
      <c r="L21" s="15">
        <v>5.0478480000000001</v>
      </c>
      <c r="M21" s="15">
        <v>4.9640930000000001</v>
      </c>
      <c r="N21" s="15">
        <v>5.9398030000000004</v>
      </c>
      <c r="O21" s="15">
        <v>5.8476140000000001</v>
      </c>
      <c r="Q21">
        <v>1961</v>
      </c>
      <c r="R21">
        <v>4.7551350000000001</v>
      </c>
      <c r="S21">
        <v>4.9466299999999999</v>
      </c>
      <c r="T21">
        <v>5.894628</v>
      </c>
      <c r="U21">
        <v>3.9991919999999999</v>
      </c>
      <c r="V21">
        <v>3.9877699999999998</v>
      </c>
      <c r="W21">
        <v>4.2640729999999998</v>
      </c>
      <c r="X21">
        <v>3.8161480000000001</v>
      </c>
      <c r="Y21">
        <v>4.321707</v>
      </c>
      <c r="Z21">
        <v>4.6172680000000001</v>
      </c>
      <c r="AA21">
        <v>4.9623689999999998</v>
      </c>
      <c r="AB21">
        <v>5.4608530000000002</v>
      </c>
      <c r="AC21">
        <v>5.5317420000000004</v>
      </c>
    </row>
    <row r="22" spans="3:29" x14ac:dyDescent="0.2">
      <c r="C22" s="10">
        <v>1983</v>
      </c>
      <c r="D22" s="15">
        <v>6.4956630000000004</v>
      </c>
      <c r="E22" s="15">
        <v>5.3445650000000002</v>
      </c>
      <c r="F22" s="15">
        <v>4.9725659999999996</v>
      </c>
      <c r="G22" s="15">
        <v>4.2725780000000002</v>
      </c>
      <c r="H22" s="15">
        <v>4.066681</v>
      </c>
      <c r="I22" s="15">
        <v>4.3453400000000002</v>
      </c>
      <c r="J22" s="15">
        <v>4.2173020000000001</v>
      </c>
      <c r="K22" s="15">
        <v>4.6508900000000004</v>
      </c>
      <c r="L22" s="15">
        <v>5.3183199999999999</v>
      </c>
      <c r="M22" s="15">
        <v>6.2709210000000004</v>
      </c>
      <c r="N22" s="15">
        <v>5.9903170000000001</v>
      </c>
      <c r="O22" s="15">
        <v>5.7938210000000003</v>
      </c>
      <c r="Q22">
        <v>1962</v>
      </c>
      <c r="R22">
        <v>5.7636580000000004</v>
      </c>
      <c r="S22">
        <v>6.0189899999999996</v>
      </c>
      <c r="T22">
        <v>4.0889889999999998</v>
      </c>
      <c r="U22">
        <v>4.821828</v>
      </c>
      <c r="V22">
        <v>4.1697759999999997</v>
      </c>
      <c r="W22">
        <v>4.2865739999999999</v>
      </c>
      <c r="X22">
        <v>3.8396530000000002</v>
      </c>
      <c r="Y22">
        <v>4.5032350000000001</v>
      </c>
      <c r="Z22">
        <v>4.7485549999999996</v>
      </c>
      <c r="AA22">
        <v>5.3535570000000003</v>
      </c>
      <c r="AB22">
        <v>5.0247580000000003</v>
      </c>
      <c r="AC22">
        <v>5.3498020000000004</v>
      </c>
    </row>
    <row r="23" spans="3:29" x14ac:dyDescent="0.2">
      <c r="C23" s="10">
        <v>1984</v>
      </c>
      <c r="D23" s="15">
        <v>5.9334470000000001</v>
      </c>
      <c r="E23" s="15">
        <v>5.6794510000000002</v>
      </c>
      <c r="F23" s="15">
        <v>4.716844</v>
      </c>
      <c r="G23" s="15">
        <v>4.4259069999999996</v>
      </c>
      <c r="H23" s="15">
        <v>4.030888</v>
      </c>
      <c r="I23" s="15">
        <v>4.4161840000000003</v>
      </c>
      <c r="J23" s="15">
        <v>3.950339</v>
      </c>
      <c r="K23" s="15">
        <v>3.8545129999999999</v>
      </c>
      <c r="L23" s="15">
        <v>4.4310150000000004</v>
      </c>
      <c r="M23" s="15">
        <v>5.524864</v>
      </c>
      <c r="N23" s="15">
        <v>5.1323980000000002</v>
      </c>
      <c r="O23" s="15">
        <v>5.3434850000000003</v>
      </c>
      <c r="Q23">
        <v>1963</v>
      </c>
      <c r="R23">
        <v>5.3726180000000001</v>
      </c>
      <c r="S23">
        <v>4.6750759999999998</v>
      </c>
      <c r="T23">
        <v>4.6012959999999996</v>
      </c>
      <c r="U23">
        <v>4.0642769999999997</v>
      </c>
      <c r="V23">
        <v>3.9505880000000002</v>
      </c>
      <c r="W23">
        <v>3.9917919999999998</v>
      </c>
      <c r="X23">
        <v>4.2640079999999996</v>
      </c>
      <c r="Y23">
        <v>3.898936</v>
      </c>
      <c r="Z23">
        <v>4.9687970000000004</v>
      </c>
      <c r="AA23">
        <v>5.0061869999999997</v>
      </c>
      <c r="AB23">
        <v>5.109998</v>
      </c>
      <c r="AC23">
        <v>5.3388070000000001</v>
      </c>
    </row>
    <row r="24" spans="3:29" x14ac:dyDescent="0.2">
      <c r="C24" s="10">
        <v>1985</v>
      </c>
      <c r="D24" s="15">
        <v>5.0319010000000004</v>
      </c>
      <c r="E24" s="15">
        <v>4.695417</v>
      </c>
      <c r="F24" s="15">
        <v>4.9872569999999996</v>
      </c>
      <c r="G24" s="15">
        <v>4.6159999999999997</v>
      </c>
      <c r="H24" s="15">
        <v>4.1906470000000002</v>
      </c>
      <c r="I24" s="15">
        <v>3.8721800000000002</v>
      </c>
      <c r="J24" s="15">
        <v>3.9646949999999999</v>
      </c>
      <c r="K24" s="15">
        <v>4.3978299999999999</v>
      </c>
      <c r="L24" s="15">
        <v>5.1660649999999997</v>
      </c>
      <c r="M24" s="15">
        <v>5.7143379999999997</v>
      </c>
      <c r="N24" s="15">
        <v>5.6773709999999999</v>
      </c>
      <c r="O24" s="15">
        <v>4.9507659999999998</v>
      </c>
      <c r="Q24">
        <v>1964</v>
      </c>
      <c r="R24">
        <v>6.0035559999999997</v>
      </c>
      <c r="S24">
        <v>4.7750899999999996</v>
      </c>
      <c r="T24">
        <v>4.035825</v>
      </c>
      <c r="U24">
        <v>3.9806409999999999</v>
      </c>
      <c r="V24">
        <v>4.0474699999999997</v>
      </c>
      <c r="W24">
        <v>4.5092819999999998</v>
      </c>
      <c r="X24">
        <v>4.3247479999999996</v>
      </c>
      <c r="Y24">
        <v>4.3757770000000002</v>
      </c>
      <c r="Z24">
        <v>4.630369</v>
      </c>
      <c r="AA24">
        <v>5.0768180000000003</v>
      </c>
      <c r="AB24">
        <v>5.2404349999999997</v>
      </c>
      <c r="AC24">
        <v>5.544835</v>
      </c>
    </row>
    <row r="25" spans="3:29" x14ac:dyDescent="0.2">
      <c r="C25" s="10">
        <v>1986</v>
      </c>
      <c r="D25" s="15">
        <v>5.100403</v>
      </c>
      <c r="E25" s="15">
        <v>4.7067199999999998</v>
      </c>
      <c r="F25" s="15">
        <v>5.5409199999999998</v>
      </c>
      <c r="G25" s="15">
        <v>4.5018630000000002</v>
      </c>
      <c r="H25" s="15">
        <v>4.4955939999999996</v>
      </c>
      <c r="I25" s="15">
        <v>4.3143669999999998</v>
      </c>
      <c r="J25" s="15">
        <v>4.1006640000000001</v>
      </c>
      <c r="K25" s="15">
        <v>4.4193530000000001</v>
      </c>
      <c r="L25" s="15">
        <v>4.9956870000000002</v>
      </c>
      <c r="M25" s="15">
        <v>5.8040909999999997</v>
      </c>
      <c r="N25" s="15">
        <v>5.9457430000000002</v>
      </c>
      <c r="O25" s="15">
        <v>5.7233790000000004</v>
      </c>
      <c r="Q25">
        <v>1965</v>
      </c>
      <c r="R25">
        <v>5.4229010000000004</v>
      </c>
      <c r="S25">
        <v>5.4982810000000004</v>
      </c>
      <c r="T25">
        <v>4.8533569999999999</v>
      </c>
      <c r="U25">
        <v>4.7231740000000002</v>
      </c>
      <c r="V25">
        <v>3.8978449999999998</v>
      </c>
      <c r="W25">
        <v>4.1160180000000004</v>
      </c>
      <c r="X25">
        <v>4.1906210000000002</v>
      </c>
      <c r="Y25">
        <v>4.0575210000000004</v>
      </c>
      <c r="Z25">
        <v>4.4647889999999997</v>
      </c>
      <c r="AA25">
        <v>5.0544260000000003</v>
      </c>
      <c r="AB25">
        <v>5.1753450000000001</v>
      </c>
      <c r="AC25">
        <v>5.0604089999999999</v>
      </c>
    </row>
    <row r="26" spans="3:29" x14ac:dyDescent="0.2">
      <c r="C26" s="10">
        <v>1987</v>
      </c>
      <c r="D26" s="15">
        <v>5.3752120000000003</v>
      </c>
      <c r="E26" s="15">
        <v>5.1640119999999996</v>
      </c>
      <c r="F26" s="15">
        <v>4.7268080000000001</v>
      </c>
      <c r="G26" s="15">
        <v>4.4283390000000002</v>
      </c>
      <c r="H26" s="15">
        <v>4.3325889999999996</v>
      </c>
      <c r="I26" s="15">
        <v>4.1865189999999997</v>
      </c>
      <c r="J26" s="15">
        <v>4.1651069999999999</v>
      </c>
      <c r="K26" s="15">
        <v>4.3569829999999996</v>
      </c>
      <c r="L26" s="15">
        <v>4.6328610000000001</v>
      </c>
      <c r="M26" s="15">
        <v>5.9684049999999997</v>
      </c>
      <c r="N26" s="15">
        <v>5.0317970000000001</v>
      </c>
      <c r="O26" s="15">
        <v>5.4686149999999998</v>
      </c>
      <c r="Q26">
        <v>1966</v>
      </c>
      <c r="R26">
        <v>5.0520889999999996</v>
      </c>
      <c r="S26">
        <v>4.4981869999999997</v>
      </c>
      <c r="T26">
        <v>5.0486750000000002</v>
      </c>
      <c r="U26">
        <v>4.2096080000000002</v>
      </c>
      <c r="V26">
        <v>4.2361019999999998</v>
      </c>
      <c r="W26">
        <v>3.5476570000000001</v>
      </c>
      <c r="X26">
        <v>3.9007670000000001</v>
      </c>
      <c r="Y26">
        <v>4.3378439999999996</v>
      </c>
      <c r="Z26">
        <v>5.3668329999999997</v>
      </c>
      <c r="AA26">
        <v>4.3262609999999997</v>
      </c>
      <c r="AB26">
        <v>5.1887610000000004</v>
      </c>
      <c r="AC26">
        <v>6.0773590000000004</v>
      </c>
    </row>
    <row r="27" spans="3:29" x14ac:dyDescent="0.2">
      <c r="C27" s="10">
        <v>1988</v>
      </c>
      <c r="D27" s="15">
        <v>5.7050679999999998</v>
      </c>
      <c r="E27" s="15">
        <v>5.251595</v>
      </c>
      <c r="F27" s="15">
        <v>4.3783409999999998</v>
      </c>
      <c r="G27" s="15">
        <v>4.6872569999999998</v>
      </c>
      <c r="H27" s="15">
        <v>3.9201069999999998</v>
      </c>
      <c r="I27" s="15">
        <v>3.8495439999999999</v>
      </c>
      <c r="J27" s="15">
        <v>4.0892239999999997</v>
      </c>
      <c r="K27" s="15">
        <v>4.2346469999999998</v>
      </c>
      <c r="L27" s="15">
        <v>5.2434890000000003</v>
      </c>
      <c r="M27" s="15">
        <v>5.7032949999999998</v>
      </c>
      <c r="N27" s="15">
        <v>5.8843050000000003</v>
      </c>
      <c r="O27" s="15">
        <v>5.9754990000000001</v>
      </c>
      <c r="Q27">
        <v>1967</v>
      </c>
      <c r="R27">
        <v>4.9344809999999999</v>
      </c>
      <c r="S27">
        <v>5.3911639999999998</v>
      </c>
      <c r="T27">
        <v>5.9185020000000002</v>
      </c>
      <c r="U27">
        <v>4.888287</v>
      </c>
      <c r="V27">
        <v>3.91391</v>
      </c>
      <c r="W27">
        <v>4.563822</v>
      </c>
      <c r="X27">
        <v>3.9431880000000001</v>
      </c>
      <c r="Y27">
        <v>3.9680230000000001</v>
      </c>
      <c r="Z27">
        <v>4.3704169999999998</v>
      </c>
      <c r="AA27">
        <v>5.6473550000000001</v>
      </c>
      <c r="AB27">
        <v>5.555485</v>
      </c>
      <c r="AC27">
        <v>5.1551479999999996</v>
      </c>
    </row>
    <row r="28" spans="3:29" x14ac:dyDescent="0.2">
      <c r="C28" s="10">
        <v>1989</v>
      </c>
      <c r="D28" s="15">
        <v>6.6015540000000001</v>
      </c>
      <c r="E28" s="15">
        <v>6.6515909999999998</v>
      </c>
      <c r="F28" s="15">
        <v>5.3277409999999996</v>
      </c>
      <c r="G28" s="15">
        <v>4.484559</v>
      </c>
      <c r="H28" s="15">
        <v>4.681495</v>
      </c>
      <c r="I28" s="15">
        <v>4.2781599999999997</v>
      </c>
      <c r="J28" s="15">
        <v>4.1991149999999999</v>
      </c>
      <c r="K28" s="15">
        <v>4.5139740000000002</v>
      </c>
      <c r="L28" s="15">
        <v>4.8101130000000003</v>
      </c>
      <c r="M28" s="15">
        <v>4.9720639999999996</v>
      </c>
      <c r="N28" s="15">
        <v>5.2069200000000002</v>
      </c>
      <c r="O28" s="15">
        <v>5.7964919999999998</v>
      </c>
      <c r="Q28">
        <v>1968</v>
      </c>
      <c r="R28">
        <v>4.969309</v>
      </c>
      <c r="S28">
        <v>4.8933970000000002</v>
      </c>
      <c r="T28">
        <v>5.8624989999999997</v>
      </c>
      <c r="U28">
        <v>4.6281230000000004</v>
      </c>
      <c r="V28">
        <v>4.1125579999999999</v>
      </c>
      <c r="W28">
        <v>4.2141679999999999</v>
      </c>
      <c r="X28">
        <v>3.8264849999999999</v>
      </c>
      <c r="Y28">
        <v>3.8799229999999998</v>
      </c>
      <c r="Z28">
        <v>4.0739619999999999</v>
      </c>
      <c r="AA28">
        <v>5.2322819999999997</v>
      </c>
      <c r="AB28">
        <v>4.777997</v>
      </c>
      <c r="AC28">
        <v>4.9442000000000004</v>
      </c>
    </row>
    <row r="29" spans="3:29" x14ac:dyDescent="0.2">
      <c r="C29" s="10">
        <v>1990</v>
      </c>
      <c r="D29" s="15">
        <v>5.8201159999999996</v>
      </c>
      <c r="E29" s="15">
        <v>6.5379870000000002</v>
      </c>
      <c r="F29" s="15">
        <v>6.517455</v>
      </c>
      <c r="G29" s="15">
        <v>4.9180020000000004</v>
      </c>
      <c r="H29" s="15">
        <v>4.3639979999999996</v>
      </c>
      <c r="I29" s="15">
        <v>4.0227579999999996</v>
      </c>
      <c r="J29" s="15">
        <v>4.2649220000000003</v>
      </c>
      <c r="K29" s="15">
        <v>3.9389319999999999</v>
      </c>
      <c r="L29" s="15">
        <v>4.8370939999999996</v>
      </c>
      <c r="M29" s="15">
        <v>5.3606689999999997</v>
      </c>
      <c r="N29" s="15">
        <v>5.0364719999999998</v>
      </c>
      <c r="O29" s="15">
        <v>6.2151690000000004</v>
      </c>
      <c r="Q29">
        <v>1969</v>
      </c>
      <c r="R29">
        <v>4.9827560000000002</v>
      </c>
      <c r="S29">
        <v>5.1639340000000002</v>
      </c>
      <c r="T29">
        <v>4.6645130000000004</v>
      </c>
      <c r="U29">
        <v>4.7451049999999997</v>
      </c>
      <c r="V29">
        <v>3.8597039999999998</v>
      </c>
      <c r="W29">
        <v>3.5851540000000002</v>
      </c>
      <c r="X29">
        <v>4.2133630000000002</v>
      </c>
      <c r="Y29">
        <v>3.7198060000000002</v>
      </c>
      <c r="Z29">
        <v>5.1161570000000003</v>
      </c>
      <c r="AA29">
        <v>5.3618309999999996</v>
      </c>
      <c r="AB29">
        <v>5.5435860000000003</v>
      </c>
      <c r="AC29">
        <v>4.8545800000000003</v>
      </c>
    </row>
    <row r="30" spans="3:29" x14ac:dyDescent="0.2">
      <c r="C30" s="10">
        <v>1991</v>
      </c>
      <c r="D30" s="15">
        <v>5.9021720000000002</v>
      </c>
      <c r="E30" s="15">
        <v>5.1197910000000002</v>
      </c>
      <c r="F30" s="15">
        <v>4.6278050000000004</v>
      </c>
      <c r="G30" s="15">
        <v>4.7219059999999997</v>
      </c>
      <c r="H30" s="15">
        <v>4.5519160000000003</v>
      </c>
      <c r="I30" s="15">
        <v>4.1838449999999998</v>
      </c>
      <c r="J30" s="15">
        <v>3.908925</v>
      </c>
      <c r="K30" s="15">
        <v>4.0479630000000002</v>
      </c>
      <c r="L30" s="15">
        <v>5.1623039999999998</v>
      </c>
      <c r="M30" s="15">
        <v>4.9462120000000001</v>
      </c>
      <c r="N30" s="15">
        <v>5.7056019999999998</v>
      </c>
      <c r="O30" s="15">
        <v>6.2858799999999997</v>
      </c>
      <c r="Q30">
        <v>1970</v>
      </c>
      <c r="R30">
        <v>4.8165870000000002</v>
      </c>
      <c r="S30">
        <v>4.6792210000000001</v>
      </c>
      <c r="T30">
        <v>4.8240670000000003</v>
      </c>
      <c r="U30">
        <v>4.4383710000000001</v>
      </c>
      <c r="V30">
        <v>3.9821249999999999</v>
      </c>
      <c r="W30">
        <v>3.7798880000000001</v>
      </c>
      <c r="X30">
        <v>4.4821289999999996</v>
      </c>
      <c r="Y30">
        <v>3.9434819999999999</v>
      </c>
      <c r="Z30">
        <v>4.9785240000000002</v>
      </c>
      <c r="AA30">
        <v>5.1606319999999997</v>
      </c>
      <c r="AB30">
        <v>5.2035869999999997</v>
      </c>
      <c r="AC30">
        <v>5.396299</v>
      </c>
    </row>
    <row r="31" spans="3:29" x14ac:dyDescent="0.2">
      <c r="C31" s="10">
        <v>1992</v>
      </c>
      <c r="D31" s="15">
        <v>6.4827570000000003</v>
      </c>
      <c r="E31" s="15">
        <v>5.7913690000000004</v>
      </c>
      <c r="F31" s="15">
        <v>5.469163</v>
      </c>
      <c r="G31" s="15">
        <v>4.8403720000000003</v>
      </c>
      <c r="H31" s="15">
        <v>4.2873489999999999</v>
      </c>
      <c r="I31" s="15">
        <v>4.2633830000000001</v>
      </c>
      <c r="J31" s="15">
        <v>4.294098</v>
      </c>
      <c r="K31" s="15">
        <v>4.4347479999999999</v>
      </c>
      <c r="L31" s="15">
        <v>4.4109629999999997</v>
      </c>
      <c r="M31" s="15">
        <v>4.8424490000000002</v>
      </c>
      <c r="N31" s="15">
        <v>5.6751779999999998</v>
      </c>
      <c r="O31" s="15">
        <v>6.2087859999999999</v>
      </c>
      <c r="Q31">
        <v>1971</v>
      </c>
      <c r="R31">
        <v>5.1934820000000004</v>
      </c>
      <c r="S31">
        <v>5.6132799999999996</v>
      </c>
      <c r="T31">
        <v>4.8704830000000001</v>
      </c>
      <c r="U31">
        <v>4.5798540000000001</v>
      </c>
      <c r="V31">
        <v>4.0602549999999997</v>
      </c>
      <c r="W31">
        <v>3.904674</v>
      </c>
      <c r="X31">
        <v>4.1241719999999997</v>
      </c>
      <c r="Y31">
        <v>4.3324350000000003</v>
      </c>
      <c r="Z31">
        <v>4.6708350000000003</v>
      </c>
      <c r="AA31">
        <v>5.5667669999999996</v>
      </c>
      <c r="AB31">
        <v>5.7808299999999999</v>
      </c>
      <c r="AC31">
        <v>5.8224070000000001</v>
      </c>
    </row>
    <row r="32" spans="3:29" x14ac:dyDescent="0.2">
      <c r="C32" s="10">
        <v>1993</v>
      </c>
      <c r="D32" s="15">
        <v>7.1251879999999996</v>
      </c>
      <c r="E32" s="15">
        <v>6.1985299999999999</v>
      </c>
      <c r="F32" s="15">
        <v>5.4667490000000001</v>
      </c>
      <c r="G32" s="15">
        <v>4.4239119999999996</v>
      </c>
      <c r="H32" s="15">
        <v>4.2014860000000001</v>
      </c>
      <c r="I32" s="15">
        <v>4.0778720000000002</v>
      </c>
      <c r="J32" s="15">
        <v>4.344964</v>
      </c>
      <c r="K32" s="15">
        <v>4.3243840000000002</v>
      </c>
      <c r="L32" s="15">
        <v>4.2299309999999997</v>
      </c>
      <c r="M32" s="15">
        <v>5.452547</v>
      </c>
      <c r="N32" s="15">
        <v>5.1885289999999999</v>
      </c>
      <c r="O32" s="15">
        <v>5.7025030000000001</v>
      </c>
      <c r="Q32">
        <v>1972</v>
      </c>
      <c r="R32">
        <v>5.1451549999999999</v>
      </c>
      <c r="S32">
        <v>4.3785759999999998</v>
      </c>
      <c r="T32">
        <v>5.5050739999999996</v>
      </c>
      <c r="U32">
        <v>4.4709440000000003</v>
      </c>
      <c r="V32">
        <v>3.9055559999999998</v>
      </c>
      <c r="W32">
        <v>3.9046080000000001</v>
      </c>
      <c r="X32">
        <v>3.7054480000000001</v>
      </c>
      <c r="Y32">
        <v>4.4272679999999998</v>
      </c>
      <c r="Z32">
        <v>4.50542</v>
      </c>
      <c r="AA32">
        <v>5.0026630000000001</v>
      </c>
      <c r="AB32">
        <v>5.4811439999999996</v>
      </c>
      <c r="AC32">
        <v>5.9190399999999999</v>
      </c>
    </row>
    <row r="33" spans="3:29" x14ac:dyDescent="0.2">
      <c r="C33" s="10">
        <v>1994</v>
      </c>
      <c r="D33" s="15">
        <v>5.4370430000000001</v>
      </c>
      <c r="E33" s="15">
        <v>4.6633389999999997</v>
      </c>
      <c r="F33" s="15">
        <v>5.6803549999999996</v>
      </c>
      <c r="G33" s="15">
        <v>4.7405410000000003</v>
      </c>
      <c r="H33" s="15">
        <v>4.2343400000000004</v>
      </c>
      <c r="I33" s="15">
        <v>4.6866830000000004</v>
      </c>
      <c r="J33" s="15">
        <v>3.6938749999999998</v>
      </c>
      <c r="K33" s="15">
        <v>4.0626030000000002</v>
      </c>
      <c r="L33" s="15">
        <v>4.7262320000000004</v>
      </c>
      <c r="M33" s="15">
        <v>5.5498710000000004</v>
      </c>
      <c r="N33" s="15">
        <v>5.4641859999999998</v>
      </c>
      <c r="O33" s="15">
        <v>5.943079</v>
      </c>
      <c r="Q33">
        <v>1973</v>
      </c>
      <c r="R33">
        <v>5.3976139999999999</v>
      </c>
      <c r="S33">
        <v>5.1767779999999997</v>
      </c>
      <c r="T33">
        <v>4.9644149999999998</v>
      </c>
      <c r="U33">
        <v>4.7386010000000001</v>
      </c>
      <c r="V33">
        <v>4.2304979999999999</v>
      </c>
      <c r="W33">
        <v>4.2910599999999999</v>
      </c>
      <c r="X33">
        <v>3.676841</v>
      </c>
      <c r="Y33">
        <v>4.5021940000000003</v>
      </c>
      <c r="Z33">
        <v>4.6692119999999999</v>
      </c>
      <c r="AA33">
        <v>4.8179939999999997</v>
      </c>
      <c r="AB33">
        <v>5.8689830000000001</v>
      </c>
      <c r="AC33">
        <v>5.6146180000000001</v>
      </c>
    </row>
    <row r="34" spans="3:29" x14ac:dyDescent="0.2">
      <c r="C34" s="10">
        <v>1995</v>
      </c>
      <c r="D34" s="15">
        <v>6.4639329999999999</v>
      </c>
      <c r="E34" s="15">
        <v>5.9827669999999999</v>
      </c>
      <c r="F34" s="15">
        <v>6.0252980000000003</v>
      </c>
      <c r="G34" s="15">
        <v>4.8506669999999996</v>
      </c>
      <c r="H34" s="15">
        <v>4.1411379999999998</v>
      </c>
      <c r="I34" s="15">
        <v>4.2665360000000003</v>
      </c>
      <c r="J34" s="15">
        <v>4.323944</v>
      </c>
      <c r="K34" s="15">
        <v>4.5854999999999997</v>
      </c>
      <c r="L34" s="15">
        <v>4.7485710000000001</v>
      </c>
      <c r="M34" s="15">
        <v>5.5505589999999998</v>
      </c>
      <c r="N34" s="15">
        <v>5.449211</v>
      </c>
      <c r="O34" s="15">
        <v>5.0379740000000002</v>
      </c>
      <c r="Q34">
        <v>1974</v>
      </c>
      <c r="R34">
        <v>5.7393910000000004</v>
      </c>
      <c r="S34">
        <v>4.9414910000000001</v>
      </c>
      <c r="T34">
        <v>4.3507910000000001</v>
      </c>
      <c r="U34">
        <v>4.2346880000000002</v>
      </c>
      <c r="V34">
        <v>3.898682</v>
      </c>
      <c r="W34">
        <v>3.8613689999999998</v>
      </c>
      <c r="X34">
        <v>4.3545530000000001</v>
      </c>
      <c r="Y34">
        <v>3.8926219999999998</v>
      </c>
      <c r="Z34">
        <v>5.0368979999999999</v>
      </c>
      <c r="AA34">
        <v>4.7489189999999999</v>
      </c>
      <c r="AB34">
        <v>5.0344930000000003</v>
      </c>
      <c r="AC34">
        <v>5.876735</v>
      </c>
    </row>
    <row r="35" spans="3:29" x14ac:dyDescent="0.2">
      <c r="C35" s="10">
        <v>1996</v>
      </c>
      <c r="D35" s="15">
        <v>4.9556449999999996</v>
      </c>
      <c r="E35" s="15">
        <v>5.5079140000000004</v>
      </c>
      <c r="F35" s="15">
        <v>4.5629609999999996</v>
      </c>
      <c r="G35" s="15">
        <v>4.2374900000000002</v>
      </c>
      <c r="H35" s="15">
        <v>4.4803610000000003</v>
      </c>
      <c r="I35" s="15">
        <v>4.401796</v>
      </c>
      <c r="J35" s="15">
        <v>4.2673249999999996</v>
      </c>
      <c r="K35" s="15">
        <v>4.0363850000000001</v>
      </c>
      <c r="L35" s="15">
        <v>4.6922920000000001</v>
      </c>
      <c r="M35" s="15">
        <v>5.1942069999999996</v>
      </c>
      <c r="N35" s="15">
        <v>5.371156</v>
      </c>
      <c r="O35" s="15">
        <v>5.1949350000000001</v>
      </c>
      <c r="Q35">
        <v>1975</v>
      </c>
      <c r="R35">
        <v>6.1551650000000002</v>
      </c>
      <c r="S35">
        <v>5.4700249999999997</v>
      </c>
      <c r="T35">
        <v>4.4810150000000002</v>
      </c>
      <c r="U35">
        <v>4.4658889999999998</v>
      </c>
      <c r="V35">
        <v>4.4761040000000003</v>
      </c>
      <c r="W35">
        <v>4.3400169999999996</v>
      </c>
      <c r="X35">
        <v>4.0008379999999999</v>
      </c>
      <c r="Y35">
        <v>3.8600449999999999</v>
      </c>
      <c r="Z35">
        <v>5.6020200000000004</v>
      </c>
      <c r="AA35">
        <v>5.1216229999999996</v>
      </c>
      <c r="AB35">
        <v>5.3149230000000003</v>
      </c>
      <c r="AC35">
        <v>6.764335</v>
      </c>
    </row>
    <row r="36" spans="3:29" x14ac:dyDescent="0.2">
      <c r="C36" s="10">
        <v>1997</v>
      </c>
      <c r="D36" s="15">
        <v>5.8843699999999997</v>
      </c>
      <c r="E36" s="15">
        <v>6.5976569999999999</v>
      </c>
      <c r="F36" s="15">
        <v>5.9080490000000001</v>
      </c>
      <c r="G36" s="15">
        <v>5.4315699999999998</v>
      </c>
      <c r="H36" s="15">
        <v>4.323893</v>
      </c>
      <c r="I36" s="15">
        <v>3.9976039999999999</v>
      </c>
      <c r="J36" s="15">
        <v>3.490097</v>
      </c>
      <c r="K36" s="15">
        <v>3.9649169999999998</v>
      </c>
      <c r="L36" s="15">
        <v>5.539371</v>
      </c>
      <c r="M36" s="15">
        <v>5.3082909999999996</v>
      </c>
      <c r="N36" s="15">
        <v>4.8722979999999998</v>
      </c>
      <c r="O36" s="15">
        <v>4.7606310000000001</v>
      </c>
      <c r="Q36">
        <v>1976</v>
      </c>
      <c r="R36">
        <v>5.2740819999999999</v>
      </c>
      <c r="S36">
        <v>5.3429120000000001</v>
      </c>
      <c r="T36">
        <v>4.7857669999999999</v>
      </c>
      <c r="U36">
        <v>4.8934119999999997</v>
      </c>
      <c r="V36">
        <v>3.8933629999999999</v>
      </c>
      <c r="W36">
        <v>4.3391200000000003</v>
      </c>
      <c r="X36">
        <v>3.9566059999999998</v>
      </c>
      <c r="Y36">
        <v>4.006926</v>
      </c>
      <c r="Z36">
        <v>4.4805380000000001</v>
      </c>
      <c r="AA36">
        <v>4.9856730000000002</v>
      </c>
      <c r="AB36">
        <v>5.252891</v>
      </c>
      <c r="AC36">
        <v>5.1852660000000004</v>
      </c>
    </row>
    <row r="37" spans="3:29" x14ac:dyDescent="0.2">
      <c r="C37" s="10">
        <v>1998</v>
      </c>
      <c r="D37" s="15">
        <v>5.4925499999999996</v>
      </c>
      <c r="E37" s="15">
        <v>6.2927200000000001</v>
      </c>
      <c r="F37" s="15">
        <v>5.2200810000000004</v>
      </c>
      <c r="G37" s="15">
        <v>4.1490739999999997</v>
      </c>
      <c r="H37" s="15">
        <v>4.2742940000000003</v>
      </c>
      <c r="I37" s="15">
        <v>4.3752829999999996</v>
      </c>
      <c r="J37" s="15">
        <v>4.1757720000000003</v>
      </c>
      <c r="K37" s="15">
        <v>4.5258669999999999</v>
      </c>
      <c r="L37" s="15">
        <v>4.6083059999999998</v>
      </c>
      <c r="M37" s="15">
        <v>5.6740050000000002</v>
      </c>
      <c r="N37" s="15">
        <v>4.7713409999999996</v>
      </c>
      <c r="O37" s="15">
        <v>5.8521510000000001</v>
      </c>
      <c r="Q37">
        <v>1977</v>
      </c>
      <c r="R37">
        <v>4.9345910000000002</v>
      </c>
      <c r="S37">
        <v>4.3137689999999997</v>
      </c>
      <c r="T37">
        <v>4.8752700000000004</v>
      </c>
      <c r="U37">
        <v>4.8481079999999999</v>
      </c>
      <c r="V37">
        <v>4.0256619999999996</v>
      </c>
      <c r="W37">
        <v>4.1728630000000004</v>
      </c>
      <c r="X37">
        <v>4.2217659999999997</v>
      </c>
      <c r="Y37">
        <v>3.9298229999999998</v>
      </c>
      <c r="Z37">
        <v>5.1554029999999997</v>
      </c>
      <c r="AA37">
        <v>4.8980730000000001</v>
      </c>
      <c r="AB37">
        <v>5.43147</v>
      </c>
      <c r="AC37">
        <v>5.6188180000000001</v>
      </c>
    </row>
    <row r="38" spans="3:29" x14ac:dyDescent="0.2">
      <c r="C38" s="10">
        <v>1999</v>
      </c>
      <c r="D38" s="15">
        <v>5.0812790000000003</v>
      </c>
      <c r="E38" s="15">
        <v>5.4145859999999999</v>
      </c>
      <c r="F38" s="15">
        <v>4.840433</v>
      </c>
      <c r="G38" s="15">
        <v>4.6993679999999998</v>
      </c>
      <c r="H38" s="15">
        <v>4.1437340000000003</v>
      </c>
      <c r="I38" s="15">
        <v>4.2119369999999998</v>
      </c>
      <c r="J38" s="15">
        <v>4.1858519999999997</v>
      </c>
      <c r="K38" s="15">
        <v>3.9476979999999999</v>
      </c>
      <c r="L38" s="15">
        <v>4.4306109999999999</v>
      </c>
      <c r="M38" s="15">
        <v>5.1861110000000004</v>
      </c>
      <c r="N38" s="15">
        <v>6.0115119999999997</v>
      </c>
      <c r="O38" s="15">
        <v>5.8838980000000003</v>
      </c>
      <c r="Q38">
        <v>1978</v>
      </c>
      <c r="R38">
        <v>5.4361769999999998</v>
      </c>
      <c r="S38">
        <v>4.8859599999999999</v>
      </c>
      <c r="T38">
        <v>4.8363550000000002</v>
      </c>
      <c r="U38">
        <v>4.4319090000000001</v>
      </c>
      <c r="V38">
        <v>4.0001090000000001</v>
      </c>
      <c r="W38">
        <v>4.0980629999999998</v>
      </c>
      <c r="X38">
        <v>3.7062439999999999</v>
      </c>
      <c r="Y38">
        <v>4.1391119999999999</v>
      </c>
      <c r="Z38">
        <v>4.9523460000000004</v>
      </c>
      <c r="AA38">
        <v>5.3976199999999999</v>
      </c>
      <c r="AB38">
        <v>6.2480549999999999</v>
      </c>
      <c r="AC38">
        <v>4.7571750000000002</v>
      </c>
    </row>
    <row r="39" spans="3:29" x14ac:dyDescent="0.2">
      <c r="C39" s="10">
        <v>2000</v>
      </c>
      <c r="D39" s="15">
        <v>6.4641979999999997</v>
      </c>
      <c r="E39" s="15">
        <v>5.6346610000000004</v>
      </c>
      <c r="F39" s="15">
        <v>5.7774210000000004</v>
      </c>
      <c r="G39" s="15">
        <v>4.4184970000000003</v>
      </c>
      <c r="H39" s="15">
        <v>4.5330149999999998</v>
      </c>
      <c r="I39" s="15">
        <v>4.8367430000000002</v>
      </c>
      <c r="J39" s="15">
        <v>3.954494</v>
      </c>
      <c r="K39" s="15">
        <v>3.9079869999999999</v>
      </c>
      <c r="L39" s="15">
        <v>4.5531050000000004</v>
      </c>
      <c r="M39" s="15">
        <v>5.4784050000000004</v>
      </c>
      <c r="N39" s="15">
        <v>5.189292</v>
      </c>
      <c r="O39" s="15">
        <v>4.8942730000000001</v>
      </c>
      <c r="Q39">
        <v>1979</v>
      </c>
      <c r="R39">
        <v>4.8104380000000004</v>
      </c>
      <c r="S39">
        <v>5.1279000000000003</v>
      </c>
      <c r="T39">
        <v>5.5038879999999999</v>
      </c>
      <c r="U39">
        <v>4.0632289999999998</v>
      </c>
      <c r="V39">
        <v>4.6096279999999998</v>
      </c>
      <c r="W39">
        <v>3.9886180000000002</v>
      </c>
      <c r="X39">
        <v>3.861834</v>
      </c>
      <c r="Y39">
        <v>4.147062</v>
      </c>
      <c r="Z39">
        <v>5.1166679999999998</v>
      </c>
      <c r="AA39">
        <v>4.7047109999999996</v>
      </c>
      <c r="AB39">
        <v>5.1705829999999997</v>
      </c>
      <c r="AC39">
        <v>5.5305799999999996</v>
      </c>
    </row>
    <row r="40" spans="3:29" x14ac:dyDescent="0.2">
      <c r="C40" s="10">
        <v>2001</v>
      </c>
      <c r="D40" s="15">
        <v>4.9980789999999997</v>
      </c>
      <c r="E40" s="15">
        <v>5.5460019999999997</v>
      </c>
      <c r="F40" s="15">
        <v>4.3487289999999996</v>
      </c>
      <c r="G40" s="15">
        <v>4.4559680000000004</v>
      </c>
      <c r="H40" s="15">
        <v>4.4642010000000001</v>
      </c>
      <c r="I40" s="15">
        <v>4.0824499999999997</v>
      </c>
      <c r="J40" s="15">
        <v>4.2443650000000002</v>
      </c>
      <c r="K40" s="15">
        <v>4.1037109999999997</v>
      </c>
      <c r="L40" s="15">
        <v>4.4384129999999997</v>
      </c>
      <c r="M40" s="15">
        <v>5.0704669999999998</v>
      </c>
      <c r="N40" s="15">
        <v>6.4731319999999997</v>
      </c>
      <c r="O40" s="15">
        <v>5.3539890000000003</v>
      </c>
      <c r="Q40">
        <v>1980</v>
      </c>
      <c r="R40">
        <v>4.8449869999999997</v>
      </c>
      <c r="S40">
        <v>4.4870270000000003</v>
      </c>
      <c r="T40">
        <v>4.5259729999999996</v>
      </c>
      <c r="U40">
        <v>4.1851690000000001</v>
      </c>
      <c r="V40">
        <v>3.945357</v>
      </c>
      <c r="W40">
        <v>3.849653</v>
      </c>
      <c r="X40">
        <v>3.601737</v>
      </c>
      <c r="Y40">
        <v>4.0281130000000003</v>
      </c>
      <c r="Z40">
        <v>4.2901949999999998</v>
      </c>
      <c r="AA40">
        <v>5.3632920000000004</v>
      </c>
      <c r="AB40">
        <v>5.4326470000000002</v>
      </c>
      <c r="AC40">
        <v>5.7168749999999999</v>
      </c>
    </row>
    <row r="41" spans="3:29" x14ac:dyDescent="0.2">
      <c r="C41" s="10">
        <v>2002</v>
      </c>
      <c r="D41" s="15">
        <v>5.647786</v>
      </c>
      <c r="E41" s="15">
        <v>6.0815070000000002</v>
      </c>
      <c r="F41" s="15">
        <v>5.2480390000000003</v>
      </c>
      <c r="G41" s="15">
        <v>4.2053289999999999</v>
      </c>
      <c r="H41" s="15">
        <v>4.306559</v>
      </c>
      <c r="I41" s="15">
        <v>4.1589720000000003</v>
      </c>
      <c r="J41" s="15">
        <v>4.0127160000000002</v>
      </c>
      <c r="K41" s="15">
        <v>3.5968119999999999</v>
      </c>
      <c r="L41" s="15">
        <v>4.4761949999999997</v>
      </c>
      <c r="M41" s="15">
        <v>4.9093710000000002</v>
      </c>
      <c r="N41" s="15">
        <v>4.7127679999999996</v>
      </c>
      <c r="O41" s="15">
        <v>5.2055759999999998</v>
      </c>
      <c r="Q41">
        <v>1981</v>
      </c>
      <c r="R41">
        <v>5.838495</v>
      </c>
      <c r="S41">
        <v>5.0740290000000003</v>
      </c>
      <c r="T41">
        <v>4.7803589999999998</v>
      </c>
      <c r="U41">
        <v>4.6906040000000004</v>
      </c>
      <c r="V41">
        <v>3.750435</v>
      </c>
      <c r="W41">
        <v>4.4215039999999997</v>
      </c>
      <c r="X41">
        <v>4.0265019999999998</v>
      </c>
      <c r="Y41">
        <v>4.0358720000000003</v>
      </c>
      <c r="Z41">
        <v>4.2053609999999999</v>
      </c>
      <c r="AA41">
        <v>5.0819380000000001</v>
      </c>
      <c r="AB41">
        <v>5.6650549999999997</v>
      </c>
      <c r="AC41">
        <v>5.2791870000000003</v>
      </c>
    </row>
    <row r="42" spans="3:29" x14ac:dyDescent="0.2">
      <c r="C42" s="10">
        <v>2003</v>
      </c>
      <c r="D42" s="15">
        <v>5.5016660000000002</v>
      </c>
      <c r="E42" s="15">
        <v>4.931864</v>
      </c>
      <c r="F42" s="15">
        <v>5.3012350000000001</v>
      </c>
      <c r="G42" s="15">
        <v>4.8256309999999996</v>
      </c>
      <c r="H42" s="15">
        <v>4.2335940000000001</v>
      </c>
      <c r="I42" s="15">
        <v>3.9381240000000002</v>
      </c>
      <c r="J42" s="15">
        <v>3.5630700000000002</v>
      </c>
      <c r="K42" s="15">
        <v>4.3701780000000001</v>
      </c>
      <c r="L42" s="15">
        <v>4.8148340000000003</v>
      </c>
      <c r="M42" s="15">
        <v>4.9075160000000002</v>
      </c>
      <c r="N42" s="15">
        <v>4.7186959999999996</v>
      </c>
      <c r="O42" s="15">
        <v>6.2934289999999997</v>
      </c>
      <c r="Q42">
        <v>1982</v>
      </c>
      <c r="R42">
        <v>5.2288360000000003</v>
      </c>
      <c r="S42">
        <v>4.9572950000000002</v>
      </c>
      <c r="T42">
        <v>5.2640469999999997</v>
      </c>
      <c r="U42">
        <v>5.052791</v>
      </c>
      <c r="V42">
        <v>4.3767760000000004</v>
      </c>
      <c r="W42">
        <v>4.0046179999999998</v>
      </c>
      <c r="X42">
        <v>4.1253640000000003</v>
      </c>
      <c r="Y42">
        <v>4.2310489999999996</v>
      </c>
      <c r="Z42">
        <v>4.9160380000000004</v>
      </c>
      <c r="AA42">
        <v>4.8155239999999999</v>
      </c>
      <c r="AB42">
        <v>5.7863319999999998</v>
      </c>
      <c r="AC42">
        <v>5.684132</v>
      </c>
    </row>
    <row r="43" spans="3:29" x14ac:dyDescent="0.2">
      <c r="C43" s="10">
        <v>2004</v>
      </c>
      <c r="D43" s="15">
        <v>5.0298689999999997</v>
      </c>
      <c r="E43" s="15">
        <v>5.1525850000000002</v>
      </c>
      <c r="F43" s="15">
        <v>4.8597190000000001</v>
      </c>
      <c r="G43" s="15">
        <v>4.1010369999999998</v>
      </c>
      <c r="H43" s="15">
        <v>4.4011909999999999</v>
      </c>
      <c r="I43" s="15">
        <v>4.2216129999999996</v>
      </c>
      <c r="J43" s="15">
        <v>3.8476249999999999</v>
      </c>
      <c r="K43" s="15">
        <v>4.0822149999999997</v>
      </c>
      <c r="L43" s="15">
        <v>5.4010290000000003</v>
      </c>
      <c r="M43" s="15">
        <v>4.8904610000000002</v>
      </c>
      <c r="N43" s="15">
        <v>5.614655</v>
      </c>
      <c r="O43" s="15">
        <v>6.062335</v>
      </c>
      <c r="Q43">
        <v>1983</v>
      </c>
      <c r="R43">
        <v>6.300154</v>
      </c>
      <c r="S43">
        <v>5.2018319999999996</v>
      </c>
      <c r="T43">
        <v>4.8168569999999997</v>
      </c>
      <c r="U43">
        <v>4.1718919999999997</v>
      </c>
      <c r="V43">
        <v>3.963187</v>
      </c>
      <c r="W43">
        <v>4.2427640000000002</v>
      </c>
      <c r="X43">
        <v>4.1266299999999996</v>
      </c>
      <c r="Y43">
        <v>4.5559200000000004</v>
      </c>
      <c r="Z43">
        <v>5.2057099999999998</v>
      </c>
      <c r="AA43">
        <v>6.1109369999999998</v>
      </c>
      <c r="AB43">
        <v>5.8597669999999997</v>
      </c>
      <c r="AC43">
        <v>5.6204609999999997</v>
      </c>
    </row>
    <row r="44" spans="3:29" x14ac:dyDescent="0.2">
      <c r="C44" s="10">
        <v>2005</v>
      </c>
      <c r="D44" s="15">
        <v>6.2060839999999997</v>
      </c>
      <c r="E44" s="15">
        <v>5.5719700000000003</v>
      </c>
      <c r="F44" s="15">
        <v>4.4452579999999999</v>
      </c>
      <c r="G44" s="15">
        <v>4.4827180000000002</v>
      </c>
      <c r="H44" s="15">
        <v>4.399851</v>
      </c>
      <c r="I44" s="15">
        <v>4.2212949999999996</v>
      </c>
      <c r="J44" s="15">
        <v>3.785974</v>
      </c>
      <c r="K44" s="15">
        <v>4.6007600000000002</v>
      </c>
      <c r="L44" s="15">
        <v>5.3679350000000001</v>
      </c>
      <c r="M44" s="15">
        <v>5.4078160000000004</v>
      </c>
      <c r="N44" s="15">
        <v>5.5153160000000003</v>
      </c>
      <c r="O44" s="15">
        <v>5.2977090000000002</v>
      </c>
      <c r="Q44">
        <v>1984</v>
      </c>
      <c r="R44">
        <v>5.760707</v>
      </c>
      <c r="S44">
        <v>5.4965159999999997</v>
      </c>
      <c r="T44">
        <v>4.5732860000000004</v>
      </c>
      <c r="U44">
        <v>4.3221129999999999</v>
      </c>
      <c r="V44">
        <v>3.9474969999999998</v>
      </c>
      <c r="W44">
        <v>4.3042239999999996</v>
      </c>
      <c r="X44">
        <v>3.8542559999999999</v>
      </c>
      <c r="Y44">
        <v>3.783048</v>
      </c>
      <c r="Z44">
        <v>4.3230750000000002</v>
      </c>
      <c r="AA44">
        <v>5.3846559999999997</v>
      </c>
      <c r="AB44">
        <v>4.9743300000000001</v>
      </c>
      <c r="AC44">
        <v>5.1736409999999999</v>
      </c>
    </row>
    <row r="45" spans="3:29" x14ac:dyDescent="0.2">
      <c r="C45" s="10">
        <v>2006</v>
      </c>
      <c r="D45" s="15">
        <v>5.8891580000000001</v>
      </c>
      <c r="E45" s="15">
        <v>4.8943089999999998</v>
      </c>
      <c r="F45" s="15">
        <v>4.6458269999999997</v>
      </c>
      <c r="G45" s="15">
        <v>4.4453490000000002</v>
      </c>
      <c r="H45" s="15">
        <v>4.30891</v>
      </c>
      <c r="I45" s="15">
        <v>4.2825430000000004</v>
      </c>
      <c r="J45" s="15">
        <v>3.9463810000000001</v>
      </c>
      <c r="K45" s="15">
        <v>3.7534100000000001</v>
      </c>
      <c r="L45" s="15">
        <v>4.7060139999999997</v>
      </c>
      <c r="M45" s="15">
        <v>4.941694</v>
      </c>
      <c r="N45" s="15">
        <v>5.8053080000000001</v>
      </c>
      <c r="O45" s="15">
        <v>6.406231</v>
      </c>
      <c r="Q45">
        <v>1985</v>
      </c>
      <c r="R45">
        <v>4.9077909999999996</v>
      </c>
      <c r="S45">
        <v>4.5459199999999997</v>
      </c>
      <c r="T45">
        <v>4.8485459999999998</v>
      </c>
      <c r="U45">
        <v>4.4909119999999998</v>
      </c>
      <c r="V45">
        <v>4.0898329999999996</v>
      </c>
      <c r="W45">
        <v>3.7857889999999998</v>
      </c>
      <c r="X45">
        <v>3.8751679999999999</v>
      </c>
      <c r="Y45">
        <v>4.303407</v>
      </c>
      <c r="Z45">
        <v>5.0697049999999999</v>
      </c>
      <c r="AA45">
        <v>5.6043250000000002</v>
      </c>
      <c r="AB45">
        <v>5.4996640000000001</v>
      </c>
      <c r="AC45">
        <v>4.8034460000000001</v>
      </c>
    </row>
    <row r="46" spans="3:29" x14ac:dyDescent="0.2">
      <c r="C46" s="10">
        <v>2007</v>
      </c>
      <c r="D46" s="15">
        <v>6.1673249999999999</v>
      </c>
      <c r="E46" s="15">
        <v>5.0024290000000002</v>
      </c>
      <c r="F46" s="15">
        <v>5.102684</v>
      </c>
      <c r="G46" s="15">
        <v>5.3913760000000002</v>
      </c>
      <c r="H46" s="15">
        <v>4.4286320000000003</v>
      </c>
      <c r="I46" s="15">
        <v>3.886196</v>
      </c>
      <c r="J46" s="15">
        <v>4.3747610000000003</v>
      </c>
      <c r="K46" s="15">
        <v>4.3883020000000004</v>
      </c>
      <c r="L46" s="15">
        <v>5.1963619999999997</v>
      </c>
      <c r="M46" s="15">
        <v>5.1835370000000003</v>
      </c>
      <c r="N46" s="15">
        <v>5.5653930000000003</v>
      </c>
      <c r="O46" s="15">
        <v>5.7741160000000002</v>
      </c>
      <c r="Q46">
        <v>1986</v>
      </c>
      <c r="R46">
        <v>4.9426560000000004</v>
      </c>
      <c r="S46">
        <v>4.6141100000000002</v>
      </c>
      <c r="T46">
        <v>5.3697889999999999</v>
      </c>
      <c r="U46">
        <v>4.4044379999999999</v>
      </c>
      <c r="V46">
        <v>4.3708280000000004</v>
      </c>
      <c r="W46">
        <v>4.2070860000000003</v>
      </c>
      <c r="X46">
        <v>4.0144099999999998</v>
      </c>
      <c r="Y46">
        <v>4.3235710000000003</v>
      </c>
      <c r="Z46">
        <v>4.8780650000000003</v>
      </c>
      <c r="AA46">
        <v>5.6605920000000003</v>
      </c>
      <c r="AB46">
        <v>5.7892419999999998</v>
      </c>
      <c r="AC46">
        <v>5.5606099999999996</v>
      </c>
    </row>
    <row r="47" spans="3:29" x14ac:dyDescent="0.2">
      <c r="C47" s="10">
        <v>2008</v>
      </c>
      <c r="D47" s="15">
        <v>6.3205330000000002</v>
      </c>
      <c r="E47" s="15">
        <v>6.0985279999999999</v>
      </c>
      <c r="F47" s="15">
        <v>5.1400800000000002</v>
      </c>
      <c r="G47" s="15">
        <v>4.2525279999999999</v>
      </c>
      <c r="H47" s="15">
        <v>3.7840729999999998</v>
      </c>
      <c r="I47" s="15">
        <v>4.3730029999999998</v>
      </c>
      <c r="J47" s="15">
        <v>3.8481640000000001</v>
      </c>
      <c r="K47" s="15">
        <v>4.4338889999999997</v>
      </c>
      <c r="L47" s="15">
        <v>4.50596</v>
      </c>
      <c r="M47" s="15">
        <v>5.9212389999999999</v>
      </c>
      <c r="N47" s="15">
        <v>5.7063420000000002</v>
      </c>
      <c r="O47" s="15">
        <v>5.3059770000000004</v>
      </c>
      <c r="Q47">
        <v>1987</v>
      </c>
      <c r="R47">
        <v>5.2128199999999998</v>
      </c>
      <c r="S47">
        <v>5.0367620000000004</v>
      </c>
      <c r="T47">
        <v>4.549715</v>
      </c>
      <c r="U47">
        <v>4.3175970000000001</v>
      </c>
      <c r="V47">
        <v>4.2401580000000001</v>
      </c>
      <c r="W47">
        <v>4.106649</v>
      </c>
      <c r="X47">
        <v>4.0741800000000001</v>
      </c>
      <c r="Y47">
        <v>4.2680769999999999</v>
      </c>
      <c r="Z47">
        <v>4.5067510000000004</v>
      </c>
      <c r="AA47">
        <v>5.835591</v>
      </c>
      <c r="AB47">
        <v>4.9483199999999998</v>
      </c>
      <c r="AC47">
        <v>5.3376679999999999</v>
      </c>
    </row>
    <row r="48" spans="3:29" x14ac:dyDescent="0.2">
      <c r="C48" s="10">
        <v>2009</v>
      </c>
      <c r="D48" s="15">
        <v>5.777749</v>
      </c>
      <c r="E48" s="15">
        <v>4.6673590000000003</v>
      </c>
      <c r="F48" s="15">
        <v>4.8273270000000004</v>
      </c>
      <c r="G48" s="15">
        <v>4.2222619999999997</v>
      </c>
      <c r="H48" s="15">
        <v>4.4948259999999998</v>
      </c>
      <c r="I48" s="15">
        <v>4.2850710000000003</v>
      </c>
      <c r="J48" s="15">
        <v>4.1118670000000002</v>
      </c>
      <c r="K48" s="15">
        <v>4.212637</v>
      </c>
      <c r="L48" s="15">
        <v>5.4908970000000004</v>
      </c>
      <c r="M48" s="15">
        <v>4.950869</v>
      </c>
      <c r="N48" s="15">
        <v>5.2225080000000004</v>
      </c>
      <c r="O48" s="15">
        <v>4.9095789999999999</v>
      </c>
      <c r="Q48">
        <v>1988</v>
      </c>
      <c r="R48">
        <v>5.5641769999999999</v>
      </c>
      <c r="S48">
        <v>5.0981709999999998</v>
      </c>
      <c r="T48">
        <v>4.2354240000000001</v>
      </c>
      <c r="U48">
        <v>4.5860050000000001</v>
      </c>
      <c r="V48">
        <v>3.8309669999999998</v>
      </c>
      <c r="W48">
        <v>3.7441249999999999</v>
      </c>
      <c r="X48">
        <v>3.9875569999999998</v>
      </c>
      <c r="Y48">
        <v>4.148123</v>
      </c>
      <c r="Z48">
        <v>5.1138089999999998</v>
      </c>
      <c r="AA48">
        <v>5.5811809999999999</v>
      </c>
      <c r="AB48">
        <v>5.727379</v>
      </c>
      <c r="AC48">
        <v>5.8125619999999998</v>
      </c>
    </row>
    <row r="49" spans="3:29" x14ac:dyDescent="0.2">
      <c r="C49" s="10">
        <v>2010</v>
      </c>
      <c r="D49" s="15">
        <v>5.1946630000000003</v>
      </c>
      <c r="E49" s="15">
        <v>4.5347559999999998</v>
      </c>
      <c r="F49" s="15">
        <v>4.8574349999999997</v>
      </c>
      <c r="G49" s="15">
        <v>4.353739</v>
      </c>
      <c r="H49" s="15">
        <v>4.0147300000000001</v>
      </c>
      <c r="I49" s="15">
        <v>4.2226030000000003</v>
      </c>
      <c r="J49" s="15">
        <v>4.2604660000000001</v>
      </c>
      <c r="K49" s="15">
        <v>4.1401349999999999</v>
      </c>
      <c r="L49" s="15">
        <v>4.5026520000000003</v>
      </c>
      <c r="M49" s="15">
        <v>5.5074370000000004</v>
      </c>
      <c r="N49" s="15">
        <v>5.1358930000000003</v>
      </c>
      <c r="O49" s="15">
        <v>5.0714139999999999</v>
      </c>
      <c r="Q49">
        <v>1989</v>
      </c>
      <c r="R49">
        <v>6.4239709999999999</v>
      </c>
      <c r="S49">
        <v>6.4553520000000004</v>
      </c>
      <c r="T49">
        <v>5.172587</v>
      </c>
      <c r="U49">
        <v>4.3997669999999998</v>
      </c>
      <c r="V49">
        <v>4.5673459999999997</v>
      </c>
      <c r="W49">
        <v>4.1868780000000001</v>
      </c>
      <c r="X49">
        <v>4.1014910000000002</v>
      </c>
      <c r="Y49">
        <v>4.4097679999999997</v>
      </c>
      <c r="Z49">
        <v>4.6708540000000003</v>
      </c>
      <c r="AA49">
        <v>4.8430429999999998</v>
      </c>
      <c r="AB49">
        <v>5.0687379999999997</v>
      </c>
      <c r="AC49">
        <v>5.6455169999999999</v>
      </c>
    </row>
    <row r="50" spans="3:29" x14ac:dyDescent="0.2">
      <c r="C50" s="10">
        <v>2011</v>
      </c>
      <c r="D50" s="15">
        <v>5.2722990000000003</v>
      </c>
      <c r="E50" s="15">
        <v>5.4089</v>
      </c>
      <c r="F50" s="15">
        <v>5.955222</v>
      </c>
      <c r="G50" s="15">
        <v>4.6935349999999998</v>
      </c>
      <c r="H50" s="15">
        <v>4.4720180000000003</v>
      </c>
      <c r="I50" s="15">
        <v>4.3155710000000003</v>
      </c>
      <c r="J50" s="15">
        <v>3.9945529999999998</v>
      </c>
      <c r="K50" s="15">
        <v>4.1106230000000004</v>
      </c>
      <c r="L50" s="15">
        <v>4.9509860000000003</v>
      </c>
      <c r="M50" s="15">
        <v>5.6853569999999998</v>
      </c>
      <c r="N50" s="15">
        <v>5.4555610000000003</v>
      </c>
      <c r="O50" s="15">
        <v>6.4740840000000004</v>
      </c>
      <c r="Q50">
        <v>1990</v>
      </c>
      <c r="R50">
        <v>5.6286050000000003</v>
      </c>
      <c r="S50">
        <v>6.3590179999999998</v>
      </c>
      <c r="T50">
        <v>6.3388400000000003</v>
      </c>
      <c r="U50">
        <v>4.786791</v>
      </c>
      <c r="V50">
        <v>4.2901740000000004</v>
      </c>
      <c r="W50">
        <v>3.9308179999999999</v>
      </c>
      <c r="X50">
        <v>4.1814080000000002</v>
      </c>
      <c r="Y50">
        <v>3.8329270000000002</v>
      </c>
      <c r="Z50">
        <v>4.7324320000000002</v>
      </c>
      <c r="AA50">
        <v>5.2283910000000002</v>
      </c>
      <c r="AB50">
        <v>4.9096690000000001</v>
      </c>
      <c r="AC50">
        <v>6.037655</v>
      </c>
    </row>
    <row r="51" spans="3:29" x14ac:dyDescent="0.2">
      <c r="C51" s="10">
        <v>2012</v>
      </c>
      <c r="D51" s="15">
        <v>5.5468099999999998</v>
      </c>
      <c r="E51" s="15">
        <v>5.5867760000000004</v>
      </c>
      <c r="F51" s="15">
        <v>5.4747490000000001</v>
      </c>
      <c r="G51" s="15">
        <v>4.6317579999999996</v>
      </c>
      <c r="H51" s="15">
        <v>4.7327510000000004</v>
      </c>
      <c r="I51" s="15">
        <v>4.2061299999999999</v>
      </c>
      <c r="J51" s="15">
        <v>4.280259</v>
      </c>
      <c r="K51" s="15">
        <v>3.8921480000000002</v>
      </c>
      <c r="L51" s="15">
        <v>5.1675690000000003</v>
      </c>
      <c r="M51" s="15">
        <v>4.836373</v>
      </c>
      <c r="N51" s="15">
        <v>5.4401640000000002</v>
      </c>
      <c r="O51" s="15">
        <v>5.1342840000000001</v>
      </c>
      <c r="Q51">
        <v>1991</v>
      </c>
      <c r="R51">
        <v>5.754893</v>
      </c>
      <c r="S51">
        <v>4.9873700000000003</v>
      </c>
      <c r="T51">
        <v>4.5105680000000001</v>
      </c>
      <c r="U51">
        <v>4.5699949999999996</v>
      </c>
      <c r="V51">
        <v>4.4316040000000001</v>
      </c>
      <c r="W51">
        <v>4.1216210000000002</v>
      </c>
      <c r="X51">
        <v>3.833447</v>
      </c>
      <c r="Y51">
        <v>3.9477389999999999</v>
      </c>
      <c r="Z51">
        <v>5.040375</v>
      </c>
      <c r="AA51">
        <v>4.7866809999999997</v>
      </c>
      <c r="AB51">
        <v>5.5256129999999999</v>
      </c>
      <c r="AC51">
        <v>6.1273220000000004</v>
      </c>
    </row>
    <row r="52" spans="3:29" x14ac:dyDescent="0.2">
      <c r="C52" s="10">
        <v>2013</v>
      </c>
      <c r="D52" s="15">
        <v>4.8469100000000003</v>
      </c>
      <c r="E52" s="15">
        <v>4.4467840000000001</v>
      </c>
      <c r="F52" s="15">
        <v>4.8311039999999998</v>
      </c>
      <c r="G52" s="15">
        <v>4.7920069999999999</v>
      </c>
      <c r="H52" s="15">
        <v>4.2735430000000001</v>
      </c>
      <c r="I52" s="15">
        <v>3.9287589999999999</v>
      </c>
      <c r="J52" s="15">
        <v>4.2834539999999999</v>
      </c>
      <c r="K52" s="15">
        <v>4.163354</v>
      </c>
      <c r="L52" s="15">
        <v>4.3779950000000003</v>
      </c>
      <c r="M52" s="15">
        <v>5.2754139999999996</v>
      </c>
      <c r="N52" s="15">
        <v>5.7532519999999998</v>
      </c>
      <c r="O52" s="15">
        <v>6.4384189999999997</v>
      </c>
      <c r="Q52">
        <v>1992</v>
      </c>
      <c r="R52">
        <v>6.3289229999999996</v>
      </c>
      <c r="S52">
        <v>5.6265929999999997</v>
      </c>
      <c r="T52">
        <v>5.3131820000000003</v>
      </c>
      <c r="U52">
        <v>4.7256359999999997</v>
      </c>
      <c r="V52">
        <v>4.2001559999999998</v>
      </c>
      <c r="W52">
        <v>4.1631619999999998</v>
      </c>
      <c r="X52">
        <v>4.2116870000000004</v>
      </c>
      <c r="Y52">
        <v>4.3542439999999996</v>
      </c>
      <c r="Z52">
        <v>4.2827219999999997</v>
      </c>
      <c r="AA52">
        <v>4.7305460000000004</v>
      </c>
      <c r="AB52">
        <v>5.5176550000000004</v>
      </c>
      <c r="AC52">
        <v>6.0495159999999997</v>
      </c>
    </row>
    <row r="53" spans="3:29" x14ac:dyDescent="0.2">
      <c r="C53" s="10">
        <v>2014</v>
      </c>
      <c r="D53" s="15">
        <v>5.6975730000000002</v>
      </c>
      <c r="E53" s="15">
        <v>5.3390360000000001</v>
      </c>
      <c r="F53" s="15">
        <v>5.4890780000000001</v>
      </c>
      <c r="G53" s="15">
        <v>4.7859020000000001</v>
      </c>
      <c r="H53" s="15">
        <v>4.2107619999999999</v>
      </c>
      <c r="I53" s="15">
        <v>4.1251530000000001</v>
      </c>
      <c r="J53" s="15">
        <v>3.5478329999999998</v>
      </c>
      <c r="K53" s="15">
        <v>4.3000550000000004</v>
      </c>
      <c r="L53" s="15">
        <v>4.4176380000000002</v>
      </c>
      <c r="M53" s="15">
        <v>5.3772909999999996</v>
      </c>
      <c r="N53" s="15">
        <v>4.7718939999999996</v>
      </c>
      <c r="O53" s="15">
        <v>5.7632849999999998</v>
      </c>
      <c r="Q53">
        <v>1993</v>
      </c>
      <c r="R53">
        <v>6.8986770000000002</v>
      </c>
      <c r="S53">
        <v>6.0327320000000002</v>
      </c>
      <c r="T53">
        <v>5.3049020000000002</v>
      </c>
      <c r="U53">
        <v>4.3032180000000002</v>
      </c>
      <c r="V53">
        <v>4.096457</v>
      </c>
      <c r="W53">
        <v>3.9952899999999998</v>
      </c>
      <c r="X53">
        <v>4.2690599999999996</v>
      </c>
      <c r="Y53">
        <v>4.236599</v>
      </c>
      <c r="Z53">
        <v>4.1309440000000004</v>
      </c>
      <c r="AA53">
        <v>5.3357700000000001</v>
      </c>
      <c r="AB53">
        <v>5.0335070000000002</v>
      </c>
      <c r="AC53">
        <v>5.5611930000000003</v>
      </c>
    </row>
    <row r="54" spans="3:29" x14ac:dyDescent="0.2">
      <c r="C54" s="10">
        <v>2015</v>
      </c>
      <c r="D54" s="15">
        <v>6.1316319999999997</v>
      </c>
      <c r="E54" s="15">
        <v>6.1084170000000002</v>
      </c>
      <c r="F54" s="15">
        <v>5.6181270000000003</v>
      </c>
      <c r="G54" s="15">
        <v>5.1747360000000002</v>
      </c>
      <c r="H54" s="15">
        <v>4.6497529999999996</v>
      </c>
      <c r="I54" s="15">
        <v>4.615399</v>
      </c>
      <c r="J54" s="15">
        <v>4.2304490000000001</v>
      </c>
      <c r="K54" s="15">
        <v>4.0409959999999998</v>
      </c>
      <c r="L54" s="15">
        <v>4.6360749999999999</v>
      </c>
      <c r="M54" s="15">
        <v>4.863105</v>
      </c>
      <c r="N54" s="15">
        <v>5.4938940000000001</v>
      </c>
      <c r="O54" s="15">
        <v>6.3901380000000003</v>
      </c>
      <c r="Q54">
        <v>1994</v>
      </c>
      <c r="R54">
        <v>5.2678589999999996</v>
      </c>
      <c r="S54">
        <v>4.5077769999999999</v>
      </c>
      <c r="T54">
        <v>5.4998300000000002</v>
      </c>
      <c r="U54">
        <v>4.6108719999999996</v>
      </c>
      <c r="V54">
        <v>4.1309849999999999</v>
      </c>
      <c r="W54">
        <v>4.5901569999999996</v>
      </c>
      <c r="X54">
        <v>3.620358</v>
      </c>
      <c r="Y54">
        <v>3.9734820000000002</v>
      </c>
      <c r="Z54">
        <v>4.6272089999999997</v>
      </c>
      <c r="AA54">
        <v>5.4274440000000004</v>
      </c>
      <c r="AB54">
        <v>5.3227919999999997</v>
      </c>
      <c r="AC54">
        <v>5.7643209999999998</v>
      </c>
    </row>
    <row r="55" spans="3:29" x14ac:dyDescent="0.2">
      <c r="C55" s="11">
        <v>2016</v>
      </c>
      <c r="D55" s="15">
        <v>5.1831719999999999</v>
      </c>
      <c r="E55" s="15">
        <v>5.3199240000000003</v>
      </c>
      <c r="F55" s="15">
        <v>4.6274749999999996</v>
      </c>
      <c r="G55" s="15">
        <v>4.3655439999999999</v>
      </c>
      <c r="H55" s="15">
        <v>4.0749060000000004</v>
      </c>
      <c r="I55" s="15">
        <v>4.2612740000000002</v>
      </c>
      <c r="J55" s="15">
        <v>3.941554</v>
      </c>
      <c r="K55" s="15">
        <v>4.3758410000000003</v>
      </c>
      <c r="L55" s="15">
        <v>4.3070659999999998</v>
      </c>
      <c r="M55" s="15">
        <v>4.9079350000000002</v>
      </c>
      <c r="N55" s="15">
        <v>5.4693399999999999</v>
      </c>
      <c r="O55" s="15">
        <v>6.0185259999999996</v>
      </c>
      <c r="Q55">
        <v>1995</v>
      </c>
      <c r="R55">
        <v>6.2560450000000003</v>
      </c>
      <c r="S55">
        <v>5.8299300000000001</v>
      </c>
      <c r="T55">
        <v>5.8568720000000001</v>
      </c>
      <c r="U55">
        <v>4.7264850000000003</v>
      </c>
      <c r="V55">
        <v>4.0496829999999999</v>
      </c>
      <c r="W55">
        <v>4.1640309999999996</v>
      </c>
      <c r="X55">
        <v>4.2508030000000003</v>
      </c>
      <c r="Y55">
        <v>4.4903909999999998</v>
      </c>
      <c r="Z55">
        <v>4.6381019999999999</v>
      </c>
      <c r="AA55">
        <v>5.3979970000000002</v>
      </c>
      <c r="AB55">
        <v>5.3206579999999999</v>
      </c>
      <c r="AC55">
        <v>4.9038130000000004</v>
      </c>
    </row>
    <row r="56" spans="3:29" x14ac:dyDescent="0.2">
      <c r="C56" s="11">
        <v>2017</v>
      </c>
      <c r="D56" s="15">
        <v>5.809958</v>
      </c>
      <c r="E56" s="15">
        <v>5.1821910000000004</v>
      </c>
      <c r="F56" s="15">
        <v>5.2980390000000002</v>
      </c>
      <c r="G56" s="15">
        <v>4.8555599999999997</v>
      </c>
      <c r="H56" s="15">
        <v>4.1870469999999997</v>
      </c>
      <c r="I56" s="15">
        <v>4.5843249999999998</v>
      </c>
      <c r="J56" s="15">
        <v>4.0476020000000004</v>
      </c>
      <c r="K56" s="15">
        <v>4.5089860000000002</v>
      </c>
      <c r="L56" s="15">
        <v>4.4203239999999999</v>
      </c>
      <c r="M56" s="15">
        <v>5.4462339999999996</v>
      </c>
      <c r="N56" s="15">
        <v>5.472232</v>
      </c>
      <c r="O56" s="15">
        <v>5.5017519999999998</v>
      </c>
      <c r="Q56">
        <v>1996</v>
      </c>
      <c r="R56">
        <v>4.7765190000000004</v>
      </c>
      <c r="S56">
        <v>5.3399770000000002</v>
      </c>
      <c r="T56">
        <v>4.4170179999999997</v>
      </c>
      <c r="U56">
        <v>4.1292249999999999</v>
      </c>
      <c r="V56">
        <v>4.3764380000000003</v>
      </c>
      <c r="W56">
        <v>4.2836780000000001</v>
      </c>
      <c r="X56">
        <v>4.1786180000000002</v>
      </c>
      <c r="Y56">
        <v>3.9411809999999998</v>
      </c>
      <c r="Z56">
        <v>4.5865770000000001</v>
      </c>
      <c r="AA56">
        <v>5.0421269999999998</v>
      </c>
      <c r="AB56">
        <v>5.2561549999999997</v>
      </c>
      <c r="AC56">
        <v>5.0912579999999998</v>
      </c>
    </row>
    <row r="57" spans="3:29" x14ac:dyDescent="0.2">
      <c r="C57" s="11">
        <v>2018</v>
      </c>
      <c r="D57" s="15">
        <v>5.3614620000000004</v>
      </c>
      <c r="E57" s="15">
        <v>4.8335780000000002</v>
      </c>
      <c r="F57" s="15">
        <v>4.7157819999999999</v>
      </c>
      <c r="G57" s="15">
        <v>4.1586270000000001</v>
      </c>
      <c r="H57" s="15">
        <v>4.23475</v>
      </c>
      <c r="I57" s="15">
        <v>4.7740600000000004</v>
      </c>
      <c r="J57" s="15">
        <v>3.7008559999999999</v>
      </c>
      <c r="K57" s="15">
        <v>4.4407300000000003</v>
      </c>
      <c r="L57" s="15">
        <v>5.4750449999999997</v>
      </c>
      <c r="M57" s="15">
        <v>5.4461360000000001</v>
      </c>
      <c r="N57" s="15">
        <v>5.1179829999999997</v>
      </c>
      <c r="O57" s="15">
        <v>5.1991420000000002</v>
      </c>
      <c r="Q57">
        <v>1997</v>
      </c>
      <c r="R57">
        <v>5.7610950000000001</v>
      </c>
      <c r="S57">
        <v>6.4070130000000001</v>
      </c>
      <c r="T57">
        <v>5.7565920000000004</v>
      </c>
      <c r="U57">
        <v>5.292287</v>
      </c>
      <c r="V57">
        <v>4.2127549999999996</v>
      </c>
      <c r="W57">
        <v>3.895572</v>
      </c>
      <c r="X57">
        <v>3.4232770000000001</v>
      </c>
      <c r="Y57">
        <v>3.8869859999999998</v>
      </c>
      <c r="Z57">
        <v>5.4057219999999999</v>
      </c>
      <c r="AA57">
        <v>5.1626469999999998</v>
      </c>
      <c r="AB57">
        <v>4.7208969999999999</v>
      </c>
      <c r="AC57">
        <v>4.6358360000000003</v>
      </c>
    </row>
    <row r="58" spans="3:29" x14ac:dyDescent="0.2">
      <c r="C58" s="11">
        <v>2019</v>
      </c>
      <c r="D58" s="15">
        <v>5.3745570000000003</v>
      </c>
      <c r="E58" s="15">
        <v>5.764945</v>
      </c>
      <c r="F58" s="15">
        <v>5.8271230000000003</v>
      </c>
      <c r="G58" s="15">
        <v>4.2173480000000003</v>
      </c>
      <c r="H58" s="15">
        <v>4.6368429999999998</v>
      </c>
      <c r="I58" s="15">
        <v>4.3986200000000002</v>
      </c>
      <c r="J58" s="15">
        <v>4.0629119999999999</v>
      </c>
      <c r="K58" s="15">
        <v>4.1900589999999998</v>
      </c>
      <c r="L58" s="15">
        <v>4.9418930000000003</v>
      </c>
      <c r="M58" s="15">
        <v>4.7910579999999996</v>
      </c>
      <c r="N58" s="15">
        <v>4.6887920000000003</v>
      </c>
      <c r="O58" s="15">
        <v>5.7226359999999996</v>
      </c>
      <c r="Q58">
        <v>1998</v>
      </c>
      <c r="R58">
        <v>5.3302810000000003</v>
      </c>
      <c r="S58">
        <v>6.1302070000000004</v>
      </c>
      <c r="T58">
        <v>5.048902</v>
      </c>
      <c r="U58">
        <v>4.0453190000000001</v>
      </c>
      <c r="V58">
        <v>4.1822739999999996</v>
      </c>
      <c r="W58">
        <v>4.2906969999999998</v>
      </c>
      <c r="X58">
        <v>4.0823809999999998</v>
      </c>
      <c r="Y58">
        <v>4.4262119999999996</v>
      </c>
      <c r="Z58">
        <v>4.5117900000000004</v>
      </c>
      <c r="AA58">
        <v>5.5485170000000004</v>
      </c>
      <c r="AB58">
        <v>4.6108330000000004</v>
      </c>
      <c r="AC58">
        <v>5.6662720000000002</v>
      </c>
    </row>
    <row r="59" spans="3:29" x14ac:dyDescent="0.2">
      <c r="C59" s="11">
        <v>2020</v>
      </c>
      <c r="D59" s="15">
        <v>6.6090350000000004</v>
      </c>
      <c r="E59" s="15">
        <v>6.2321489999999997</v>
      </c>
      <c r="F59" s="15">
        <v>5.956035</v>
      </c>
      <c r="G59" s="15">
        <v>5.212326</v>
      </c>
      <c r="H59" s="15">
        <v>4.4962330000000001</v>
      </c>
      <c r="I59" s="15">
        <v>4.0237429999999996</v>
      </c>
      <c r="J59" s="15">
        <v>4.3055620000000001</v>
      </c>
      <c r="K59" s="15">
        <v>3.924153</v>
      </c>
      <c r="L59" s="15">
        <v>5.2926500000000001</v>
      </c>
      <c r="M59" s="15">
        <v>5.028105</v>
      </c>
      <c r="N59" s="15">
        <v>6.1044679999999998</v>
      </c>
      <c r="O59" s="15">
        <v>5.3645680000000002</v>
      </c>
      <c r="Q59">
        <v>1999</v>
      </c>
      <c r="R59">
        <v>4.9382380000000001</v>
      </c>
      <c r="S59">
        <v>5.2407750000000002</v>
      </c>
      <c r="T59">
        <v>4.696288</v>
      </c>
      <c r="U59">
        <v>4.5940469999999998</v>
      </c>
      <c r="V59">
        <v>4.0460729999999998</v>
      </c>
      <c r="W59">
        <v>4.1153089999999999</v>
      </c>
      <c r="X59">
        <v>4.1148629999999997</v>
      </c>
      <c r="Y59">
        <v>3.8399809999999999</v>
      </c>
      <c r="Z59">
        <v>4.3184529999999999</v>
      </c>
      <c r="AA59">
        <v>5.0639159999999999</v>
      </c>
      <c r="AB59">
        <v>5.861065</v>
      </c>
      <c r="AC59">
        <v>5.7258199999999997</v>
      </c>
    </row>
    <row r="60" spans="3:29" x14ac:dyDescent="0.2">
      <c r="C60" s="11">
        <v>2021</v>
      </c>
      <c r="D60" s="15">
        <v>4.8288149999999996</v>
      </c>
      <c r="E60" s="15">
        <v>5.2554819999999998</v>
      </c>
      <c r="F60" s="15">
        <v>5.5331169999999998</v>
      </c>
      <c r="G60" s="15">
        <v>5.1363709999999996</v>
      </c>
      <c r="H60" s="15">
        <v>4.3859209999999997</v>
      </c>
      <c r="I60" s="15">
        <v>3.8994369999999998</v>
      </c>
      <c r="J60" s="15">
        <v>4.1545579999999998</v>
      </c>
      <c r="K60" s="15">
        <v>4.3805779999999999</v>
      </c>
      <c r="L60" s="15">
        <v>4.8191560000000004</v>
      </c>
      <c r="M60" s="15">
        <v>5.7298499999999999</v>
      </c>
      <c r="N60" s="15">
        <v>5.3516919999999999</v>
      </c>
      <c r="O60" s="15">
        <v>5.3357130000000002</v>
      </c>
      <c r="Q60">
        <v>2000</v>
      </c>
      <c r="R60">
        <v>6.2815260000000004</v>
      </c>
      <c r="S60">
        <v>5.4640120000000003</v>
      </c>
      <c r="T60">
        <v>5.6349929999999997</v>
      </c>
      <c r="U60">
        <v>4.2929180000000002</v>
      </c>
      <c r="V60">
        <v>4.4561840000000004</v>
      </c>
      <c r="W60">
        <v>4.7206780000000004</v>
      </c>
      <c r="X60">
        <v>3.8672059999999999</v>
      </c>
      <c r="Y60">
        <v>3.8222119999999999</v>
      </c>
      <c r="Z60">
        <v>4.4264159999999997</v>
      </c>
      <c r="AA60">
        <v>5.3342599999999996</v>
      </c>
      <c r="AB60">
        <v>5.0474119999999996</v>
      </c>
      <c r="AC60">
        <v>4.7233000000000001</v>
      </c>
    </row>
    <row r="61" spans="3:29" x14ac:dyDescent="0.2">
      <c r="C61" s="11">
        <v>2022</v>
      </c>
      <c r="D61" s="15">
        <v>6.4180599999999997</v>
      </c>
      <c r="E61" s="15">
        <v>6.0205840000000004</v>
      </c>
      <c r="F61" s="15">
        <v>5.0367139999999999</v>
      </c>
      <c r="G61" s="15">
        <v>4.6182030000000003</v>
      </c>
      <c r="H61" s="15">
        <v>4.6929530000000002</v>
      </c>
      <c r="I61" s="15">
        <v>4.1232410000000002</v>
      </c>
      <c r="J61" s="15">
        <v>4.33507</v>
      </c>
      <c r="K61" s="15">
        <v>4.2847489999999997</v>
      </c>
      <c r="L61" s="15">
        <v>4.5051579999999998</v>
      </c>
      <c r="M61" s="15">
        <v>5.1220759999999999</v>
      </c>
      <c r="N61" s="15">
        <v>4.9334110000000004</v>
      </c>
      <c r="O61" s="15">
        <v>5.2694479999999997</v>
      </c>
      <c r="Q61">
        <v>2001</v>
      </c>
      <c r="R61">
        <v>4.8590749999999998</v>
      </c>
      <c r="S61">
        <v>5.4096739999999999</v>
      </c>
      <c r="T61">
        <v>4.2232440000000002</v>
      </c>
      <c r="U61">
        <v>4.3324059999999998</v>
      </c>
      <c r="V61">
        <v>4.3869860000000003</v>
      </c>
      <c r="W61">
        <v>3.9830610000000002</v>
      </c>
      <c r="X61">
        <v>4.1624679999999996</v>
      </c>
      <c r="Y61">
        <v>4.0199959999999999</v>
      </c>
      <c r="Z61">
        <v>4.3461860000000003</v>
      </c>
      <c r="AA61">
        <v>4.9321169999999999</v>
      </c>
      <c r="AB61">
        <v>6.2949299999999999</v>
      </c>
      <c r="AC61">
        <v>5.2207679999999996</v>
      </c>
    </row>
    <row r="62" spans="3:29" x14ac:dyDescent="0.2">
      <c r="C62" s="11">
        <v>2023</v>
      </c>
      <c r="D62" s="15">
        <v>5.8770360000000004</v>
      </c>
      <c r="E62" s="15">
        <v>5.8502929999999997</v>
      </c>
      <c r="F62" s="15">
        <v>5.1809729999999998</v>
      </c>
      <c r="G62" s="15">
        <v>4.3310839999999997</v>
      </c>
      <c r="H62" s="15">
        <v>4.5374759999999998</v>
      </c>
      <c r="I62" s="15">
        <v>3.7639909999999999</v>
      </c>
      <c r="J62" s="15">
        <v>4.1203149999999997</v>
      </c>
      <c r="K62" s="15">
        <v>3.9967779999999999</v>
      </c>
      <c r="L62" s="15">
        <v>4.8509900000000004</v>
      </c>
      <c r="M62" s="15">
        <v>5.4475709999999999</v>
      </c>
      <c r="N62" s="15">
        <v>4.8580120000000004</v>
      </c>
      <c r="O62" s="15">
        <v>5.0458360000000004</v>
      </c>
      <c r="Q62">
        <v>2002</v>
      </c>
      <c r="R62">
        <v>5.4982439999999997</v>
      </c>
      <c r="S62">
        <v>5.9160360000000001</v>
      </c>
      <c r="T62">
        <v>5.1035269999999997</v>
      </c>
      <c r="U62">
        <v>4.0944729999999998</v>
      </c>
      <c r="V62">
        <v>4.1999930000000001</v>
      </c>
      <c r="W62">
        <v>4.0725049999999996</v>
      </c>
      <c r="X62">
        <v>3.9311669999999999</v>
      </c>
      <c r="Y62">
        <v>3.5135019999999999</v>
      </c>
      <c r="Z62">
        <v>4.3871830000000003</v>
      </c>
      <c r="AA62">
        <v>4.7949299999999999</v>
      </c>
      <c r="AB62">
        <v>4.5953660000000003</v>
      </c>
      <c r="AC62">
        <v>5.0682780000000003</v>
      </c>
    </row>
    <row r="63" spans="3:29" x14ac:dyDescent="0.2">
      <c r="C63" s="11">
        <v>2024</v>
      </c>
      <c r="D63" s="15">
        <v>5.9409590000000003</v>
      </c>
      <c r="E63" s="15">
        <v>5.4756470000000004</v>
      </c>
      <c r="F63" s="15">
        <v>4.5537169999999998</v>
      </c>
      <c r="G63" s="15">
        <v>4.7621250000000002</v>
      </c>
      <c r="H63" s="15">
        <v>3.9044029999999998</v>
      </c>
      <c r="I63" s="15">
        <v>4.3165500000000003</v>
      </c>
      <c r="J63" s="15">
        <v>3.8738809999999999</v>
      </c>
      <c r="K63" s="15">
        <v>4.6228990000000003</v>
      </c>
      <c r="L63" s="15">
        <v>4.7293830000000003</v>
      </c>
      <c r="M63" s="15">
        <v>5.4394689999999999</v>
      </c>
      <c r="N63" s="15">
        <v>5.8644889999999998</v>
      </c>
      <c r="O63" s="15">
        <v>6.1683060000000003</v>
      </c>
      <c r="Q63">
        <v>2003</v>
      </c>
      <c r="R63">
        <v>5.3547159999999998</v>
      </c>
      <c r="S63">
        <v>4.7858890000000001</v>
      </c>
      <c r="T63">
        <v>5.1729620000000001</v>
      </c>
      <c r="U63">
        <v>4.7236770000000003</v>
      </c>
      <c r="V63">
        <v>4.1480459999999999</v>
      </c>
      <c r="W63">
        <v>3.8742320000000001</v>
      </c>
      <c r="X63">
        <v>3.4691420000000002</v>
      </c>
      <c r="Y63">
        <v>4.2691470000000002</v>
      </c>
      <c r="Z63">
        <v>4.7071870000000002</v>
      </c>
      <c r="AA63">
        <v>4.8036149999999997</v>
      </c>
      <c r="AB63">
        <v>4.5655950000000001</v>
      </c>
      <c r="AC63">
        <v>6.1429710000000002</v>
      </c>
    </row>
    <row r="64" spans="3:29" x14ac:dyDescent="0.2">
      <c r="C64" s="12">
        <v>2025</v>
      </c>
      <c r="D64" s="15">
        <v>5.6239759999999999</v>
      </c>
      <c r="E64" s="15">
        <v>5.1358059999999996</v>
      </c>
      <c r="F64" s="15">
        <v>5.189425</v>
      </c>
      <c r="G64" s="15">
        <v>4.5980879999999997</v>
      </c>
      <c r="H64" s="15">
        <v>4.6829000000000001</v>
      </c>
      <c r="I64" s="15">
        <v>4.6139089999999996</v>
      </c>
      <c r="J64" s="15">
        <v>3.6800570000000001</v>
      </c>
      <c r="K64" s="15">
        <v>4.5389549999999996</v>
      </c>
      <c r="L64" s="15">
        <v>4.7444699999999997</v>
      </c>
      <c r="M64" s="15">
        <v>5.2959820000000004</v>
      </c>
      <c r="N64" s="15">
        <v>5.1063229999999997</v>
      </c>
      <c r="O64" s="15">
        <v>5.703945</v>
      </c>
      <c r="Q64">
        <v>2004</v>
      </c>
      <c r="R64">
        <v>4.8680659999999998</v>
      </c>
      <c r="S64">
        <v>4.9994290000000001</v>
      </c>
      <c r="T64">
        <v>4.7496669999999996</v>
      </c>
      <c r="U64">
        <v>3.9880589999999998</v>
      </c>
      <c r="V64">
        <v>4.3071109999999999</v>
      </c>
      <c r="W64">
        <v>4.1342129999999999</v>
      </c>
      <c r="X64">
        <v>3.7707600000000001</v>
      </c>
      <c r="Y64">
        <v>4.005147</v>
      </c>
      <c r="Z64">
        <v>5.2636120000000002</v>
      </c>
      <c r="AA64">
        <v>4.7602650000000004</v>
      </c>
      <c r="AB64">
        <v>5.4667589999999997</v>
      </c>
      <c r="AC64">
        <v>5.899921</v>
      </c>
    </row>
    <row r="65" spans="2:29" x14ac:dyDescent="0.2">
      <c r="C65" s="22">
        <v>2026</v>
      </c>
      <c r="D65" s="15">
        <v>5.0451560000000004</v>
      </c>
      <c r="E65" s="15">
        <v>4.6994499999999997</v>
      </c>
      <c r="F65" s="15">
        <v>5.4326679999999996</v>
      </c>
      <c r="G65" s="15">
        <v>4.9012799999999999</v>
      </c>
      <c r="H65" s="15"/>
      <c r="I65" s="15"/>
      <c r="J65" s="15"/>
      <c r="K65" s="15"/>
      <c r="L65" s="15"/>
      <c r="M65" s="15"/>
      <c r="N65" s="15"/>
      <c r="O65" s="15"/>
      <c r="Q65">
        <v>2005</v>
      </c>
      <c r="R65">
        <v>6.0153080000000001</v>
      </c>
      <c r="S65">
        <v>5.4195549999999999</v>
      </c>
      <c r="T65">
        <v>4.3310079999999997</v>
      </c>
      <c r="U65">
        <v>4.3572220000000002</v>
      </c>
      <c r="V65">
        <v>4.2816479999999997</v>
      </c>
      <c r="W65">
        <v>4.1254540000000004</v>
      </c>
      <c r="X65">
        <v>3.6809340000000002</v>
      </c>
      <c r="Y65">
        <v>4.4840559999999998</v>
      </c>
      <c r="Z65">
        <v>5.2220040000000001</v>
      </c>
      <c r="AA65">
        <v>5.265479</v>
      </c>
      <c r="AB65">
        <v>5.3629280000000001</v>
      </c>
      <c r="AC65">
        <v>5.1470269999999996</v>
      </c>
    </row>
    <row r="66" spans="2:29" x14ac:dyDescent="0.2">
      <c r="C66" s="7" t="s">
        <v>22</v>
      </c>
      <c r="D66" s="17">
        <f>AVERAGE(D15:D64)</f>
        <v>5.6822031000000015</v>
      </c>
      <c r="E66" s="17">
        <f t="shared" ref="E66:O66" si="3">AVERAGE(E15:E64)</f>
        <v>5.419446579999998</v>
      </c>
      <c r="F66" s="17">
        <f t="shared" si="3"/>
        <v>5.16770978</v>
      </c>
      <c r="G66" s="17">
        <f t="shared" si="3"/>
        <v>4.6190988799999992</v>
      </c>
      <c r="H66" s="17">
        <f t="shared" si="3"/>
        <v>4.3088907399999989</v>
      </c>
      <c r="I66" s="17">
        <f t="shared" si="3"/>
        <v>4.2339226600000019</v>
      </c>
      <c r="J66" s="17">
        <f t="shared" si="3"/>
        <v>4.0457809400000011</v>
      </c>
      <c r="K66" s="17">
        <f t="shared" si="3"/>
        <v>4.2173542999999984</v>
      </c>
      <c r="L66" s="17">
        <f t="shared" si="3"/>
        <v>4.8219640999999989</v>
      </c>
      <c r="M66" s="17">
        <f t="shared" si="3"/>
        <v>5.3024462000000003</v>
      </c>
      <c r="N66" s="17">
        <f t="shared" si="3"/>
        <v>5.440022299999999</v>
      </c>
      <c r="O66" s="17">
        <f t="shared" si="3"/>
        <v>5.620455380000001</v>
      </c>
      <c r="Q66">
        <v>2006</v>
      </c>
      <c r="R66">
        <v>5.6938820000000003</v>
      </c>
      <c r="S66">
        <v>4.7364610000000003</v>
      </c>
      <c r="T66">
        <v>4.491339</v>
      </c>
      <c r="U66">
        <v>4.3006399999999996</v>
      </c>
      <c r="V66">
        <v>4.2025459999999999</v>
      </c>
      <c r="W66">
        <v>4.1898739999999997</v>
      </c>
      <c r="X66">
        <v>3.875823</v>
      </c>
      <c r="Y66">
        <v>3.6671520000000002</v>
      </c>
      <c r="Z66">
        <v>4.602786</v>
      </c>
      <c r="AA66">
        <v>4.8186790000000004</v>
      </c>
      <c r="AB66">
        <v>5.6227720000000003</v>
      </c>
      <c r="AC66">
        <v>6.2633910000000004</v>
      </c>
    </row>
    <row r="67" spans="2:29" x14ac:dyDescent="0.2">
      <c r="C67" s="8" t="s">
        <v>17</v>
      </c>
      <c r="D67" s="18">
        <f>MIN(D15:D64)</f>
        <v>4.8288149999999996</v>
      </c>
      <c r="E67" s="18">
        <f t="shared" ref="E67:O67" si="4">MIN(E15:E64)</f>
        <v>4.4467840000000001</v>
      </c>
      <c r="F67" s="18">
        <f t="shared" si="4"/>
        <v>4.3487289999999996</v>
      </c>
      <c r="G67" s="18">
        <f t="shared" si="4"/>
        <v>4.1010369999999998</v>
      </c>
      <c r="H67" s="18">
        <f t="shared" si="4"/>
        <v>3.7840729999999998</v>
      </c>
      <c r="I67" s="18">
        <f t="shared" si="4"/>
        <v>3.7639909999999999</v>
      </c>
      <c r="J67" s="18">
        <f t="shared" si="4"/>
        <v>3.490097</v>
      </c>
      <c r="K67" s="18">
        <f t="shared" si="4"/>
        <v>3.5968119999999999</v>
      </c>
      <c r="L67" s="18">
        <f t="shared" si="4"/>
        <v>4.2299309999999997</v>
      </c>
      <c r="M67" s="18">
        <f t="shared" si="4"/>
        <v>4.7910579999999996</v>
      </c>
      <c r="N67" s="18">
        <f t="shared" si="4"/>
        <v>4.6887920000000003</v>
      </c>
      <c r="O67" s="18">
        <f t="shared" si="4"/>
        <v>4.7606310000000001</v>
      </c>
      <c r="Q67">
        <v>2007</v>
      </c>
      <c r="R67">
        <v>5.9869479999999999</v>
      </c>
      <c r="S67">
        <v>4.8528539999999998</v>
      </c>
      <c r="T67">
        <v>4.9361969999999999</v>
      </c>
      <c r="U67">
        <v>5.2691379999999999</v>
      </c>
      <c r="V67">
        <v>4.3280909999999997</v>
      </c>
      <c r="W67">
        <v>3.8101829999999999</v>
      </c>
      <c r="X67">
        <v>4.2904920000000004</v>
      </c>
      <c r="Y67">
        <v>4.2793330000000003</v>
      </c>
      <c r="Z67">
        <v>5.0465390000000001</v>
      </c>
      <c r="AA67">
        <v>5.041188</v>
      </c>
      <c r="AB67">
        <v>5.3948010000000002</v>
      </c>
      <c r="AC67">
        <v>5.635256</v>
      </c>
    </row>
    <row r="68" spans="2:29" x14ac:dyDescent="0.2">
      <c r="C68" s="8" t="s">
        <v>24</v>
      </c>
      <c r="D68" s="18">
        <f>D69-D67</f>
        <v>2.296373</v>
      </c>
      <c r="E68" s="18">
        <f t="shared" ref="E68:O68" si="5">E69-E67</f>
        <v>2.2048069999999997</v>
      </c>
      <c r="F68" s="18">
        <f t="shared" si="5"/>
        <v>2.1687260000000004</v>
      </c>
      <c r="G68" s="18">
        <f t="shared" si="5"/>
        <v>1.330533</v>
      </c>
      <c r="H68" s="18">
        <f t="shared" si="5"/>
        <v>0.94867800000000058</v>
      </c>
      <c r="I68" s="18">
        <f t="shared" si="5"/>
        <v>1.0727520000000004</v>
      </c>
      <c r="J68" s="18">
        <f t="shared" si="5"/>
        <v>0.88466400000000034</v>
      </c>
      <c r="K68" s="18">
        <f t="shared" si="5"/>
        <v>1.0540780000000005</v>
      </c>
      <c r="L68" s="18">
        <f t="shared" si="5"/>
        <v>1.3094400000000004</v>
      </c>
      <c r="M68" s="18">
        <f t="shared" si="5"/>
        <v>1.4798630000000008</v>
      </c>
      <c r="N68" s="18">
        <f t="shared" si="5"/>
        <v>1.7843399999999994</v>
      </c>
      <c r="O68" s="18">
        <f t="shared" si="5"/>
        <v>1.7134530000000003</v>
      </c>
      <c r="Q68">
        <v>2008</v>
      </c>
      <c r="R68">
        <v>6.1612239999999998</v>
      </c>
      <c r="S68">
        <v>5.9322249999999999</v>
      </c>
      <c r="T68">
        <v>4.9778989999999999</v>
      </c>
      <c r="U68">
        <v>4.1383190000000001</v>
      </c>
      <c r="V68">
        <v>3.7019139999999999</v>
      </c>
      <c r="W68">
        <v>4.2809780000000002</v>
      </c>
      <c r="X68">
        <v>3.7646739999999999</v>
      </c>
      <c r="Y68">
        <v>4.3522480000000003</v>
      </c>
      <c r="Z68">
        <v>4.3969430000000003</v>
      </c>
      <c r="AA68">
        <v>5.7613120000000002</v>
      </c>
      <c r="AB68">
        <v>5.5592280000000001</v>
      </c>
      <c r="AC68">
        <v>5.1643800000000004</v>
      </c>
    </row>
    <row r="69" spans="2:29" x14ac:dyDescent="0.2">
      <c r="C69" s="9" t="s">
        <v>18</v>
      </c>
      <c r="D69" s="20">
        <f>MAX(D15:D64)</f>
        <v>7.1251879999999996</v>
      </c>
      <c r="E69" s="20">
        <f t="shared" ref="E69:O69" si="6">MAX(E15:E64)</f>
        <v>6.6515909999999998</v>
      </c>
      <c r="F69" s="20">
        <f t="shared" si="6"/>
        <v>6.517455</v>
      </c>
      <c r="G69" s="20">
        <f t="shared" si="6"/>
        <v>5.4315699999999998</v>
      </c>
      <c r="H69" s="20">
        <f t="shared" si="6"/>
        <v>4.7327510000000004</v>
      </c>
      <c r="I69" s="20">
        <f t="shared" si="6"/>
        <v>4.8367430000000002</v>
      </c>
      <c r="J69" s="20">
        <f t="shared" si="6"/>
        <v>4.3747610000000003</v>
      </c>
      <c r="K69" s="20">
        <f t="shared" si="6"/>
        <v>4.6508900000000004</v>
      </c>
      <c r="L69" s="20">
        <f t="shared" si="6"/>
        <v>5.539371</v>
      </c>
      <c r="M69" s="20">
        <f t="shared" si="6"/>
        <v>6.2709210000000004</v>
      </c>
      <c r="N69" s="20">
        <f t="shared" si="6"/>
        <v>6.4731319999999997</v>
      </c>
      <c r="O69" s="20">
        <f t="shared" si="6"/>
        <v>6.4740840000000004</v>
      </c>
      <c r="Q69">
        <v>2009</v>
      </c>
      <c r="R69">
        <v>5.5821129999999997</v>
      </c>
      <c r="S69">
        <v>4.5453359999999998</v>
      </c>
      <c r="T69">
        <v>4.6931409999999998</v>
      </c>
      <c r="U69">
        <v>4.121848</v>
      </c>
      <c r="V69">
        <v>4.3876330000000001</v>
      </c>
      <c r="W69">
        <v>4.205203</v>
      </c>
      <c r="X69">
        <v>4.0179580000000001</v>
      </c>
      <c r="Y69">
        <v>4.0975149999999996</v>
      </c>
      <c r="Z69">
        <v>5.3586859999999996</v>
      </c>
      <c r="AA69">
        <v>4.8156049999999997</v>
      </c>
      <c r="AB69">
        <v>5.0834929999999998</v>
      </c>
      <c r="AC69">
        <v>4.7789700000000002</v>
      </c>
    </row>
    <row r="70" spans="2:29" x14ac:dyDescent="0.2">
      <c r="D70" s="6">
        <f>D65/D66-1</f>
        <v>-0.11211269445824645</v>
      </c>
      <c r="E70" s="6">
        <f>E65/E66-1</f>
        <v>-0.13285426276865309</v>
      </c>
      <c r="Q70">
        <v>2010</v>
      </c>
      <c r="R70">
        <v>5.034751</v>
      </c>
      <c r="S70">
        <v>4.4152009999999997</v>
      </c>
      <c r="T70">
        <v>4.7270459999999996</v>
      </c>
      <c r="U70">
        <v>4.2290840000000003</v>
      </c>
      <c r="V70">
        <v>3.9335149999999999</v>
      </c>
      <c r="W70">
        <v>4.1420830000000004</v>
      </c>
      <c r="X70">
        <v>4.1575680000000004</v>
      </c>
      <c r="Y70">
        <v>4.0557359999999996</v>
      </c>
      <c r="Z70">
        <v>4.3915129999999998</v>
      </c>
      <c r="AA70">
        <v>5.3639219999999996</v>
      </c>
      <c r="AB70">
        <v>5.0280019999999999</v>
      </c>
      <c r="AC70">
        <v>4.9613339999999999</v>
      </c>
    </row>
    <row r="71" spans="2:29" x14ac:dyDescent="0.2">
      <c r="B71" s="24" t="s">
        <v>26</v>
      </c>
      <c r="Q71">
        <v>2011</v>
      </c>
      <c r="R71">
        <v>5.1302130000000004</v>
      </c>
      <c r="S71">
        <v>5.2358209999999996</v>
      </c>
      <c r="T71">
        <v>5.8116750000000001</v>
      </c>
      <c r="U71">
        <v>4.5718629999999996</v>
      </c>
      <c r="V71">
        <v>4.3667809999999996</v>
      </c>
      <c r="W71">
        <v>4.2373719999999997</v>
      </c>
      <c r="X71">
        <v>3.8831120000000001</v>
      </c>
      <c r="Y71">
        <v>4.0177610000000001</v>
      </c>
      <c r="Z71">
        <v>4.836074</v>
      </c>
      <c r="AA71">
        <v>5.5087349999999997</v>
      </c>
      <c r="AB71">
        <v>5.2914719999999997</v>
      </c>
      <c r="AC71">
        <v>6.3039459999999998</v>
      </c>
    </row>
    <row r="72" spans="2:29" x14ac:dyDescent="0.2">
      <c r="B72" t="s">
        <v>27</v>
      </c>
      <c r="Q72">
        <v>2012</v>
      </c>
      <c r="R72">
        <v>5.3748199999999997</v>
      </c>
      <c r="S72">
        <v>5.4112010000000001</v>
      </c>
      <c r="T72">
        <v>5.3402589999999996</v>
      </c>
      <c r="U72">
        <v>4.5078420000000001</v>
      </c>
      <c r="V72">
        <v>4.6229909999999999</v>
      </c>
      <c r="W72">
        <v>4.1036080000000004</v>
      </c>
      <c r="X72">
        <v>4.1861649999999999</v>
      </c>
      <c r="Y72">
        <v>3.815839</v>
      </c>
      <c r="Z72">
        <v>5.0545270000000002</v>
      </c>
      <c r="AA72">
        <v>4.7177899999999999</v>
      </c>
      <c r="AB72">
        <v>5.3200890000000003</v>
      </c>
      <c r="AC72">
        <v>5.0171150000000004</v>
      </c>
    </row>
    <row r="73" spans="2:29" x14ac:dyDescent="0.2">
      <c r="Q73">
        <v>2013</v>
      </c>
      <c r="R73">
        <v>4.7334459999999998</v>
      </c>
      <c r="S73">
        <v>4.3155250000000001</v>
      </c>
      <c r="T73">
        <v>4.72</v>
      </c>
      <c r="U73">
        <v>4.6689109999999996</v>
      </c>
      <c r="V73">
        <v>4.1654340000000003</v>
      </c>
      <c r="W73">
        <v>3.8419449999999999</v>
      </c>
      <c r="X73">
        <v>4.1888800000000002</v>
      </c>
      <c r="Y73">
        <v>4.0456630000000002</v>
      </c>
      <c r="Z73">
        <v>4.2825620000000004</v>
      </c>
      <c r="AA73">
        <v>5.1339790000000001</v>
      </c>
      <c r="AB73">
        <v>5.5996750000000004</v>
      </c>
      <c r="AC73">
        <v>6.2440259999999999</v>
      </c>
    </row>
    <row r="74" spans="2:29" x14ac:dyDescent="0.2">
      <c r="Q74">
        <v>2014</v>
      </c>
      <c r="R74">
        <v>5.5126580000000001</v>
      </c>
      <c r="S74">
        <v>5.1638529999999996</v>
      </c>
      <c r="T74">
        <v>5.349126</v>
      </c>
      <c r="U74">
        <v>4.6726010000000002</v>
      </c>
      <c r="V74">
        <v>4.1161849999999998</v>
      </c>
      <c r="W74">
        <v>4.0327789999999997</v>
      </c>
      <c r="X74">
        <v>3.475943</v>
      </c>
      <c r="Y74">
        <v>4.1890609999999997</v>
      </c>
      <c r="Z74">
        <v>4.3189010000000003</v>
      </c>
      <c r="AA74">
        <v>5.2382350000000004</v>
      </c>
      <c r="AB74">
        <v>4.637581</v>
      </c>
      <c r="AC74">
        <v>5.5964900000000002</v>
      </c>
    </row>
    <row r="75" spans="2:29" x14ac:dyDescent="0.2">
      <c r="Q75">
        <v>2015</v>
      </c>
      <c r="R75">
        <v>5.9590019999999999</v>
      </c>
      <c r="S75">
        <v>5.934361</v>
      </c>
      <c r="T75">
        <v>5.4888310000000002</v>
      </c>
      <c r="U75">
        <v>5.05335</v>
      </c>
      <c r="V75">
        <v>4.541633</v>
      </c>
      <c r="W75">
        <v>4.5313780000000001</v>
      </c>
      <c r="X75">
        <v>4.1399629999999998</v>
      </c>
      <c r="Y75">
        <v>3.9365540000000001</v>
      </c>
      <c r="Z75">
        <v>4.5405069999999998</v>
      </c>
      <c r="AA75">
        <v>4.7320390000000003</v>
      </c>
      <c r="AB75">
        <v>5.3365520000000002</v>
      </c>
      <c r="AC75">
        <v>6.2049459999999996</v>
      </c>
    </row>
    <row r="76" spans="2:29" x14ac:dyDescent="0.2">
      <c r="Q76">
        <v>2016</v>
      </c>
      <c r="R76">
        <v>5.0140950000000002</v>
      </c>
      <c r="S76">
        <v>5.1601229999999996</v>
      </c>
      <c r="T76">
        <v>4.4961159999999998</v>
      </c>
      <c r="U76">
        <v>4.2528119999999996</v>
      </c>
      <c r="V76">
        <v>3.9362379999999999</v>
      </c>
      <c r="W76">
        <v>4.1868990000000004</v>
      </c>
      <c r="X76">
        <v>3.8652160000000002</v>
      </c>
      <c r="Y76">
        <v>4.3043579999999997</v>
      </c>
      <c r="Z76">
        <v>4.1687180000000001</v>
      </c>
      <c r="AA76">
        <v>4.8202309999999997</v>
      </c>
      <c r="AB76">
        <v>5.3573259999999996</v>
      </c>
      <c r="AC76">
        <v>5.8497409999999999</v>
      </c>
    </row>
    <row r="77" spans="2:29" x14ac:dyDescent="0.2">
      <c r="Q77">
        <v>2017</v>
      </c>
      <c r="R77">
        <v>5.6389469999999999</v>
      </c>
      <c r="S77">
        <v>5.0293070000000002</v>
      </c>
      <c r="T77">
        <v>5.1672359999999999</v>
      </c>
      <c r="U77">
        <v>4.7308349999999999</v>
      </c>
      <c r="V77">
        <v>4.1021989999999997</v>
      </c>
      <c r="W77">
        <v>4.5068080000000004</v>
      </c>
      <c r="X77">
        <v>3.9773670000000001</v>
      </c>
      <c r="Y77">
        <v>4.4198310000000003</v>
      </c>
      <c r="Z77">
        <v>4.3290189999999997</v>
      </c>
      <c r="AA77">
        <v>5.3018000000000001</v>
      </c>
      <c r="AB77">
        <v>5.3002500000000001</v>
      </c>
      <c r="AC77">
        <v>5.3577589999999997</v>
      </c>
    </row>
    <row r="78" spans="2:29" x14ac:dyDescent="0.2">
      <c r="Q78">
        <v>2018</v>
      </c>
      <c r="R78">
        <v>5.2077239999999998</v>
      </c>
      <c r="S78">
        <v>4.6820209999999998</v>
      </c>
      <c r="T78">
        <v>4.5867889999999996</v>
      </c>
      <c r="U78">
        <v>4.0690369999999998</v>
      </c>
      <c r="V78">
        <v>4.1253609999999998</v>
      </c>
      <c r="W78">
        <v>4.6786479999999999</v>
      </c>
      <c r="X78">
        <v>3.611291</v>
      </c>
      <c r="Y78">
        <v>4.3578859999999997</v>
      </c>
      <c r="Z78">
        <v>5.3372830000000002</v>
      </c>
      <c r="AA78">
        <v>5.2909490000000003</v>
      </c>
      <c r="AB78">
        <v>4.9737850000000003</v>
      </c>
      <c r="AC78">
        <v>5.0373200000000002</v>
      </c>
    </row>
    <row r="79" spans="2:29" x14ac:dyDescent="0.2">
      <c r="Q79">
        <v>2019</v>
      </c>
      <c r="R79">
        <v>5.2124439999999996</v>
      </c>
      <c r="S79">
        <v>5.633489</v>
      </c>
      <c r="T79">
        <v>5.6809310000000002</v>
      </c>
      <c r="U79">
        <v>4.1264089999999998</v>
      </c>
      <c r="V79">
        <v>4.5329329999999999</v>
      </c>
      <c r="W79">
        <v>4.305542</v>
      </c>
      <c r="X79">
        <v>3.9739840000000002</v>
      </c>
      <c r="Y79">
        <v>4.0791219999999999</v>
      </c>
      <c r="Z79">
        <v>4.816605</v>
      </c>
      <c r="AA79">
        <v>4.6722510000000002</v>
      </c>
      <c r="AB79">
        <v>4.590757</v>
      </c>
      <c r="AC79">
        <v>5.5719960000000004</v>
      </c>
    </row>
    <row r="80" spans="2:29" x14ac:dyDescent="0.2">
      <c r="Q80">
        <v>2020</v>
      </c>
      <c r="R80">
        <v>6.4298070000000003</v>
      </c>
      <c r="S80">
        <v>6.0773739999999998</v>
      </c>
      <c r="T80">
        <v>5.8000999999999996</v>
      </c>
      <c r="U80">
        <v>5.105359</v>
      </c>
      <c r="V80">
        <v>4.391807</v>
      </c>
      <c r="W80">
        <v>3.9340839999999999</v>
      </c>
      <c r="X80">
        <v>4.2308630000000003</v>
      </c>
      <c r="Y80">
        <v>3.8196940000000001</v>
      </c>
      <c r="Z80">
        <v>5.1719200000000001</v>
      </c>
      <c r="AA80">
        <v>4.9156519999999997</v>
      </c>
      <c r="AB80">
        <v>5.9397099999999998</v>
      </c>
      <c r="AC80">
        <v>5.2345329999999999</v>
      </c>
    </row>
    <row r="81" spans="2:29" x14ac:dyDescent="0.2">
      <c r="Q81">
        <v>2021</v>
      </c>
      <c r="R81">
        <v>4.7130270000000003</v>
      </c>
      <c r="S81">
        <v>5.0980809999999996</v>
      </c>
      <c r="T81">
        <v>5.3971640000000001</v>
      </c>
      <c r="U81">
        <v>5.0089459999999999</v>
      </c>
      <c r="V81">
        <v>4.2907539999999997</v>
      </c>
      <c r="W81">
        <v>3.809895</v>
      </c>
      <c r="X81">
        <v>4.0812749999999998</v>
      </c>
      <c r="Y81">
        <v>4.3057860000000003</v>
      </c>
      <c r="Z81">
        <v>4.7034010000000004</v>
      </c>
      <c r="AA81">
        <v>5.5816340000000002</v>
      </c>
      <c r="AB81">
        <v>5.2080039999999999</v>
      </c>
      <c r="AC81">
        <v>5.1980259999999996</v>
      </c>
    </row>
    <row r="82" spans="2:29" x14ac:dyDescent="0.2">
      <c r="Q82">
        <v>2022</v>
      </c>
      <c r="R82">
        <v>6.2415079999999996</v>
      </c>
      <c r="S82">
        <v>5.8329250000000004</v>
      </c>
      <c r="T82">
        <v>4.8742850000000004</v>
      </c>
      <c r="U82">
        <v>4.5062369999999996</v>
      </c>
      <c r="V82">
        <v>4.585642</v>
      </c>
      <c r="W82">
        <v>4.0186669999999998</v>
      </c>
      <c r="X82">
        <v>4.2204800000000002</v>
      </c>
      <c r="Y82">
        <v>4.1929990000000004</v>
      </c>
      <c r="Z82">
        <v>4.3839829999999997</v>
      </c>
      <c r="AA82">
        <v>4.9978990000000003</v>
      </c>
      <c r="AB82">
        <v>4.7849079999999997</v>
      </c>
      <c r="AC82">
        <v>5.111497</v>
      </c>
    </row>
    <row r="83" spans="2:29" x14ac:dyDescent="0.2">
      <c r="Q83">
        <v>2023</v>
      </c>
      <c r="R83">
        <v>5.729101</v>
      </c>
      <c r="S83">
        <v>5.6793760000000004</v>
      </c>
      <c r="T83">
        <v>5.0440940000000003</v>
      </c>
      <c r="U83">
        <v>4.2188530000000002</v>
      </c>
      <c r="V83">
        <v>4.4212449999999999</v>
      </c>
      <c r="W83">
        <v>3.6829139999999998</v>
      </c>
      <c r="X83">
        <v>4.0483229999999999</v>
      </c>
      <c r="Y83">
        <v>3.9120170000000001</v>
      </c>
      <c r="Z83">
        <v>4.7319440000000004</v>
      </c>
      <c r="AA83">
        <v>5.3179619999999996</v>
      </c>
      <c r="AB83">
        <v>4.733949</v>
      </c>
      <c r="AC83">
        <v>4.9044559999999997</v>
      </c>
    </row>
    <row r="84" spans="2:29" x14ac:dyDescent="0.2">
      <c r="Q84">
        <v>2024</v>
      </c>
      <c r="R84">
        <v>5.7785739999999999</v>
      </c>
      <c r="S84">
        <v>5.3344139999999998</v>
      </c>
      <c r="T84">
        <v>4.4107839999999996</v>
      </c>
      <c r="U84">
        <v>4.6346439999999998</v>
      </c>
      <c r="V84">
        <v>3.8193079999999999</v>
      </c>
      <c r="W84">
        <v>4.1959200000000001</v>
      </c>
      <c r="X84">
        <v>3.8012079999999999</v>
      </c>
      <c r="Y84">
        <v>4.493989</v>
      </c>
      <c r="Z84">
        <v>4.6220540000000003</v>
      </c>
      <c r="AA84">
        <v>5.2886899999999999</v>
      </c>
      <c r="AB84">
        <v>5.7268410000000003</v>
      </c>
      <c r="AC84">
        <v>6.0033640000000004</v>
      </c>
    </row>
    <row r="85" spans="2:29" x14ac:dyDescent="0.2">
      <c r="Q85">
        <v>2025</v>
      </c>
      <c r="R85">
        <v>5.4807100000000002</v>
      </c>
      <c r="S85">
        <v>4.9742839999999999</v>
      </c>
      <c r="T85">
        <v>5.0611449999999998</v>
      </c>
      <c r="U85">
        <v>4.509487</v>
      </c>
      <c r="V85">
        <v>4.5709200000000001</v>
      </c>
      <c r="W85">
        <v>4.5237720000000001</v>
      </c>
      <c r="X85">
        <v>3.6063100000000001</v>
      </c>
      <c r="Y85">
        <v>4.4219160000000004</v>
      </c>
      <c r="Z85">
        <v>4.6278990000000002</v>
      </c>
      <c r="AA85">
        <v>5.1380689999999998</v>
      </c>
      <c r="AB85">
        <v>4.9478210000000002</v>
      </c>
      <c r="AC85">
        <v>5.5439800000000004</v>
      </c>
    </row>
    <row r="86" spans="2:29" x14ac:dyDescent="0.2">
      <c r="Q86">
        <v>2026</v>
      </c>
      <c r="R86">
        <v>4.8948809999999998</v>
      </c>
      <c r="S86">
        <v>4.5458249999999998</v>
      </c>
    </row>
    <row r="87" spans="2:29" x14ac:dyDescent="0.2">
      <c r="B87" s="4" t="s">
        <v>25</v>
      </c>
    </row>
    <row r="91" spans="2:29" x14ac:dyDescent="0.2">
      <c r="B91" s="4"/>
    </row>
    <row r="92" spans="2:29" x14ac:dyDescent="0.2">
      <c r="B92" s="4"/>
    </row>
    <row r="93" spans="2:29" x14ac:dyDescent="0.2">
      <c r="B93" s="4"/>
    </row>
    <row r="94" spans="2:29" x14ac:dyDescent="0.2">
      <c r="B94" s="4"/>
    </row>
    <row r="96" spans="2:29" x14ac:dyDescent="0.2">
      <c r="B96" s="4"/>
    </row>
  </sheetData>
  <dataValidations count="1">
    <dataValidation type="list" allowBlank="1" showInputMessage="1" showErrorMessage="1" sqref="C8" xr:uid="{6452D0CB-CCA6-AC4F-BB03-5D3B11B94023}">
      <formula1>#REF!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F183D-1DC5-4588-A404-85FBEF4ADE67}">
  <sheetPr>
    <tabColor theme="9"/>
  </sheetPr>
  <dimension ref="B2:P96"/>
  <sheetViews>
    <sheetView zoomScale="145" zoomScaleNormal="145" workbookViewId="0">
      <pane xSplit="4" ySplit="9" topLeftCell="E61" activePane="bottomRight" state="frozen"/>
      <selection pane="topRight" activeCell="E1" sqref="E1"/>
      <selection pane="bottomLeft" activeCell="A10" sqref="A10"/>
      <selection pane="bottomRight" activeCell="G65" sqref="G65"/>
    </sheetView>
  </sheetViews>
  <sheetFormatPr defaultColWidth="8.6640625" defaultRowHeight="11.25" x14ac:dyDescent="0.2"/>
  <sheetData>
    <row r="2" spans="3:16" x14ac:dyDescent="0.2">
      <c r="C2" s="1"/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4</v>
      </c>
    </row>
    <row r="3" spans="3:16" x14ac:dyDescent="0.2">
      <c r="C3" t="s">
        <v>2</v>
      </c>
      <c r="D3">
        <v>31</v>
      </c>
      <c r="E3">
        <v>28</v>
      </c>
      <c r="F3">
        <v>31</v>
      </c>
      <c r="G3">
        <v>30</v>
      </c>
      <c r="H3">
        <v>31</v>
      </c>
      <c r="I3">
        <v>30</v>
      </c>
      <c r="J3">
        <v>31</v>
      </c>
      <c r="K3">
        <v>31</v>
      </c>
      <c r="L3">
        <v>30</v>
      </c>
      <c r="M3">
        <v>31</v>
      </c>
      <c r="N3">
        <v>30</v>
      </c>
      <c r="O3">
        <v>31</v>
      </c>
      <c r="P3">
        <f>SUM(D3:O3)</f>
        <v>365</v>
      </c>
    </row>
    <row r="4" spans="3:16" x14ac:dyDescent="0.2">
      <c r="C4" t="s">
        <v>3</v>
      </c>
      <c r="D4">
        <f>D3*24</f>
        <v>744</v>
      </c>
      <c r="E4">
        <f t="shared" ref="E4:O4" si="0">E3*24</f>
        <v>672</v>
      </c>
      <c r="F4">
        <f t="shared" si="0"/>
        <v>744</v>
      </c>
      <c r="G4">
        <f t="shared" si="0"/>
        <v>720</v>
      </c>
      <c r="H4">
        <f t="shared" si="0"/>
        <v>744</v>
      </c>
      <c r="I4">
        <f t="shared" si="0"/>
        <v>720</v>
      </c>
      <c r="J4">
        <f t="shared" si="0"/>
        <v>744</v>
      </c>
      <c r="K4">
        <f t="shared" si="0"/>
        <v>744</v>
      </c>
      <c r="L4">
        <f t="shared" si="0"/>
        <v>720</v>
      </c>
      <c r="M4">
        <f t="shared" si="0"/>
        <v>744</v>
      </c>
      <c r="N4">
        <f t="shared" si="0"/>
        <v>720</v>
      </c>
      <c r="O4">
        <f t="shared" si="0"/>
        <v>744</v>
      </c>
      <c r="P4">
        <f>SUM(D4:O4)</f>
        <v>8760</v>
      </c>
    </row>
    <row r="5" spans="3:16" x14ac:dyDescent="0.2">
      <c r="C5" t="s">
        <v>1</v>
      </c>
      <c r="D5">
        <f>1</f>
        <v>1</v>
      </c>
      <c r="E5">
        <f>D5+1</f>
        <v>2</v>
      </c>
      <c r="F5">
        <f t="shared" ref="F5:O5" si="1">E5+1</f>
        <v>3</v>
      </c>
      <c r="G5">
        <f t="shared" si="1"/>
        <v>4</v>
      </c>
      <c r="H5">
        <f t="shared" si="1"/>
        <v>5</v>
      </c>
      <c r="I5">
        <f t="shared" si="1"/>
        <v>6</v>
      </c>
      <c r="J5">
        <f t="shared" si="1"/>
        <v>7</v>
      </c>
      <c r="K5">
        <f t="shared" si="1"/>
        <v>8</v>
      </c>
      <c r="L5">
        <f t="shared" si="1"/>
        <v>9</v>
      </c>
      <c r="M5">
        <f t="shared" si="1"/>
        <v>10</v>
      </c>
      <c r="N5">
        <f t="shared" si="1"/>
        <v>11</v>
      </c>
      <c r="O5">
        <f t="shared" si="1"/>
        <v>12</v>
      </c>
    </row>
    <row r="8" spans="3:16" x14ac:dyDescent="0.2">
      <c r="C8" s="13" t="s">
        <v>4</v>
      </c>
      <c r="D8" s="2" t="str">
        <f>D$2</f>
        <v>Jan</v>
      </c>
      <c r="E8" s="2" t="str">
        <f t="shared" ref="E8:P8" si="2">E$2</f>
        <v>Feb</v>
      </c>
      <c r="F8" s="2" t="str">
        <f t="shared" si="2"/>
        <v>Mar</v>
      </c>
      <c r="G8" s="2" t="str">
        <f t="shared" si="2"/>
        <v>Apr</v>
      </c>
      <c r="H8" s="2" t="str">
        <f t="shared" si="2"/>
        <v>May</v>
      </c>
      <c r="I8" s="2" t="str">
        <f t="shared" si="2"/>
        <v>Jun</v>
      </c>
      <c r="J8" s="2" t="str">
        <f t="shared" si="2"/>
        <v>Jul</v>
      </c>
      <c r="K8" s="2" t="str">
        <f t="shared" si="2"/>
        <v>Aug</v>
      </c>
      <c r="L8" s="2" t="str">
        <f t="shared" si="2"/>
        <v>Sep</v>
      </c>
      <c r="M8" s="2" t="str">
        <f t="shared" si="2"/>
        <v>Oct</v>
      </c>
      <c r="N8" s="2" t="str">
        <f t="shared" si="2"/>
        <v>Nov</v>
      </c>
      <c r="O8" s="2" t="str">
        <f t="shared" si="2"/>
        <v>Dec</v>
      </c>
      <c r="P8" t="str">
        <f t="shared" si="2"/>
        <v>Total</v>
      </c>
    </row>
    <row r="9" spans="3:16" x14ac:dyDescent="0.2">
      <c r="C9" s="10">
        <v>1970</v>
      </c>
      <c r="D9" s="15">
        <v>1.6147830000000001</v>
      </c>
      <c r="E9" s="15">
        <v>1.692914</v>
      </c>
      <c r="F9" s="15">
        <v>2.084152</v>
      </c>
      <c r="G9" s="15">
        <v>2.408439</v>
      </c>
      <c r="H9" s="15">
        <v>1.2810109999999999</v>
      </c>
      <c r="I9" s="15">
        <v>1.2490920000000001</v>
      </c>
      <c r="J9" s="15">
        <v>3.789002</v>
      </c>
      <c r="K9" s="15">
        <v>1.9984789999999999</v>
      </c>
      <c r="L9" s="15">
        <v>3.2339359999999999</v>
      </c>
      <c r="M9" s="15">
        <v>3.175065</v>
      </c>
      <c r="N9" s="15">
        <v>2.9103150000000002</v>
      </c>
      <c r="O9" s="15">
        <v>2.372986</v>
      </c>
    </row>
    <row r="10" spans="3:16" x14ac:dyDescent="0.2">
      <c r="C10" s="10">
        <v>1971</v>
      </c>
      <c r="D10" s="15">
        <v>2.5131070000000002</v>
      </c>
      <c r="E10" s="15">
        <v>2.467387</v>
      </c>
      <c r="F10" s="15">
        <v>2.1131799999999998</v>
      </c>
      <c r="G10" s="15">
        <v>1.6836340000000001</v>
      </c>
      <c r="H10" s="15">
        <v>1.4516039999999999</v>
      </c>
      <c r="I10" s="15">
        <v>2.022926</v>
      </c>
      <c r="J10" s="15">
        <v>2.494291</v>
      </c>
      <c r="K10" s="15">
        <v>2.9648029999999999</v>
      </c>
      <c r="L10" s="15">
        <v>2.6359270000000001</v>
      </c>
      <c r="M10" s="15">
        <v>3.2088399999999999</v>
      </c>
      <c r="N10" s="15">
        <v>3.5170300000000001</v>
      </c>
      <c r="O10" s="15">
        <v>3.007117</v>
      </c>
    </row>
    <row r="11" spans="3:16" x14ac:dyDescent="0.2">
      <c r="C11" s="10">
        <v>1972</v>
      </c>
      <c r="D11" s="15">
        <v>1.3373200000000001</v>
      </c>
      <c r="E11" s="15">
        <v>1.4549129999999999</v>
      </c>
      <c r="F11" s="15">
        <v>1.8207169999999999</v>
      </c>
      <c r="G11" s="15">
        <v>2.3055949999999998</v>
      </c>
      <c r="H11" s="15">
        <v>1.772664</v>
      </c>
      <c r="I11" s="15">
        <v>2.57524</v>
      </c>
      <c r="J11" s="15">
        <v>2.777739</v>
      </c>
      <c r="K11" s="15">
        <v>3.3761399999999999</v>
      </c>
      <c r="L11" s="15">
        <v>2.8657330000000001</v>
      </c>
      <c r="M11" s="15">
        <v>2.7122709999999999</v>
      </c>
      <c r="N11" s="15">
        <v>3.5263059999999999</v>
      </c>
      <c r="O11" s="15">
        <v>2.7540990000000001</v>
      </c>
    </row>
    <row r="12" spans="3:16" x14ac:dyDescent="0.2">
      <c r="C12" s="10">
        <v>1973</v>
      </c>
      <c r="D12" s="15">
        <v>2.1560260000000002</v>
      </c>
      <c r="E12" s="15">
        <v>2.6259619999999999</v>
      </c>
      <c r="F12" s="15">
        <v>2.0645280000000001</v>
      </c>
      <c r="G12" s="15">
        <v>2.4483890000000001</v>
      </c>
      <c r="H12" s="15">
        <v>2.1471879999999999</v>
      </c>
      <c r="I12" s="15">
        <v>2.204005</v>
      </c>
      <c r="J12" s="15">
        <v>2.487336</v>
      </c>
      <c r="K12" s="15">
        <v>2.6930580000000002</v>
      </c>
      <c r="L12" s="15">
        <v>2.8204790000000002</v>
      </c>
      <c r="M12" s="15">
        <v>2.504289</v>
      </c>
      <c r="N12" s="15">
        <v>3.409014</v>
      </c>
      <c r="O12" s="15">
        <v>3.087059</v>
      </c>
    </row>
    <row r="13" spans="3:16" x14ac:dyDescent="0.2">
      <c r="C13" s="10">
        <v>1974</v>
      </c>
      <c r="D13" s="15">
        <v>2.602624</v>
      </c>
      <c r="E13" s="15">
        <v>2.4656920000000002</v>
      </c>
      <c r="F13" s="15">
        <v>0.92678740000000004</v>
      </c>
      <c r="G13" s="15">
        <v>1.065131</v>
      </c>
      <c r="H13" s="15">
        <v>1.193146</v>
      </c>
      <c r="I13" s="15">
        <v>2.1051679999999999</v>
      </c>
      <c r="J13" s="15">
        <v>3.8775650000000002</v>
      </c>
      <c r="K13" s="15">
        <v>2.6768670000000001</v>
      </c>
      <c r="L13" s="15">
        <v>3.7490730000000001</v>
      </c>
      <c r="M13" s="15">
        <v>3.0910739999999999</v>
      </c>
      <c r="N13" s="15">
        <v>2.8895759999999999</v>
      </c>
      <c r="O13" s="15">
        <v>3.4071069999999999</v>
      </c>
    </row>
    <row r="14" spans="3:16" x14ac:dyDescent="0.2">
      <c r="C14" s="10">
        <v>1975</v>
      </c>
      <c r="D14" s="15">
        <v>3.3422519999999998</v>
      </c>
      <c r="E14" s="15">
        <v>1.7767869999999999</v>
      </c>
      <c r="F14" s="15">
        <v>1.6334660000000001</v>
      </c>
      <c r="G14" s="15">
        <v>1.982145</v>
      </c>
      <c r="H14" s="15">
        <v>2.0828180000000001</v>
      </c>
      <c r="I14" s="15">
        <v>2.021493</v>
      </c>
      <c r="J14" s="15">
        <v>2.0712259999999998</v>
      </c>
      <c r="K14" s="15">
        <v>1.9717610000000001</v>
      </c>
      <c r="L14" s="15">
        <v>3.9615969999999998</v>
      </c>
      <c r="M14" s="15">
        <v>2.464026</v>
      </c>
      <c r="N14" s="15">
        <v>2.527676</v>
      </c>
      <c r="O14" s="15">
        <v>3.775674</v>
      </c>
    </row>
    <row r="15" spans="3:16" x14ac:dyDescent="0.2">
      <c r="C15" s="10">
        <v>1976</v>
      </c>
      <c r="D15" s="15">
        <v>2.6112760000000002</v>
      </c>
      <c r="E15" s="15">
        <v>1.939651</v>
      </c>
      <c r="F15" s="15">
        <v>1.479023</v>
      </c>
      <c r="G15" s="15">
        <v>1.92275</v>
      </c>
      <c r="H15" s="15">
        <v>1.3896109999999999</v>
      </c>
      <c r="I15" s="15">
        <v>1.889929</v>
      </c>
      <c r="J15" s="15">
        <v>2.2676639999999999</v>
      </c>
      <c r="K15" s="15">
        <v>1.6028439999999999</v>
      </c>
      <c r="L15" s="15">
        <v>2.396827</v>
      </c>
      <c r="M15" s="15">
        <v>2.0491790000000001</v>
      </c>
      <c r="N15" s="15">
        <v>2.7749489999999999</v>
      </c>
      <c r="O15" s="15">
        <v>2.3646150000000001</v>
      </c>
    </row>
    <row r="16" spans="3:16" x14ac:dyDescent="0.2">
      <c r="C16" s="10">
        <v>1977</v>
      </c>
      <c r="D16" s="15">
        <v>2.3474650000000001</v>
      </c>
      <c r="E16" s="15">
        <v>1.6699470000000001</v>
      </c>
      <c r="F16" s="15">
        <v>2.1719590000000002</v>
      </c>
      <c r="G16" s="15">
        <v>2.6712769999999999</v>
      </c>
      <c r="H16" s="15">
        <v>1.5590649999999999</v>
      </c>
      <c r="I16" s="15">
        <v>2.3058689999999999</v>
      </c>
      <c r="J16" s="15">
        <v>3.1170960000000001</v>
      </c>
      <c r="K16" s="15">
        <v>1.948178</v>
      </c>
      <c r="L16" s="15">
        <v>2.7882850000000001</v>
      </c>
      <c r="M16" s="15">
        <v>2.606776</v>
      </c>
      <c r="N16" s="15">
        <v>3.1842220000000001</v>
      </c>
      <c r="O16" s="15">
        <v>2.3169119999999999</v>
      </c>
    </row>
    <row r="17" spans="3:15" x14ac:dyDescent="0.2">
      <c r="C17" s="10">
        <v>1978</v>
      </c>
      <c r="D17" s="15">
        <v>2.3856290000000002</v>
      </c>
      <c r="E17" s="15">
        <v>1.6476980000000001</v>
      </c>
      <c r="F17" s="15">
        <v>2.1709200000000002</v>
      </c>
      <c r="G17" s="15">
        <v>1.382638</v>
      </c>
      <c r="H17" s="15">
        <v>0.99903909999999996</v>
      </c>
      <c r="I17" s="15">
        <v>2.0936110000000001</v>
      </c>
      <c r="J17" s="15">
        <v>2.443549</v>
      </c>
      <c r="K17" s="15">
        <v>2.9916909999999999</v>
      </c>
      <c r="L17" s="15">
        <v>3.5312589999999999</v>
      </c>
      <c r="M17" s="15">
        <v>2.7356319999999998</v>
      </c>
      <c r="N17" s="15">
        <v>3.2729430000000002</v>
      </c>
      <c r="O17" s="15">
        <v>1.4183349999999999</v>
      </c>
    </row>
    <row r="18" spans="3:15" x14ac:dyDescent="0.2">
      <c r="C18" s="10">
        <v>1979</v>
      </c>
      <c r="D18" s="15">
        <v>1.8891020000000001</v>
      </c>
      <c r="E18" s="15">
        <v>1.658992</v>
      </c>
      <c r="F18" s="15">
        <v>2.260875</v>
      </c>
      <c r="G18" s="15">
        <v>1.541458</v>
      </c>
      <c r="H18" s="15">
        <v>2.4763030000000001</v>
      </c>
      <c r="I18" s="15">
        <v>1.850875</v>
      </c>
      <c r="J18" s="15">
        <v>2.9016139999999999</v>
      </c>
      <c r="K18" s="15">
        <v>3.1072109999999999</v>
      </c>
      <c r="L18" s="15">
        <v>3.1882290000000002</v>
      </c>
      <c r="M18" s="15">
        <v>1.8408910000000001</v>
      </c>
      <c r="N18" s="15">
        <v>3.373526</v>
      </c>
      <c r="O18" s="15">
        <v>2.6900460000000002</v>
      </c>
    </row>
    <row r="19" spans="3:15" x14ac:dyDescent="0.2">
      <c r="C19" s="10">
        <v>1980</v>
      </c>
      <c r="D19" s="15">
        <v>1.6768529999999999</v>
      </c>
      <c r="E19" s="15">
        <v>1.5205770000000001</v>
      </c>
      <c r="F19" s="15">
        <v>1.236632</v>
      </c>
      <c r="G19" s="15">
        <v>1.574986</v>
      </c>
      <c r="H19" s="15">
        <v>1.320344</v>
      </c>
      <c r="I19" s="15">
        <v>2.3559939999999999</v>
      </c>
      <c r="J19" s="15">
        <v>1.866582</v>
      </c>
      <c r="K19" s="15">
        <v>2.912798</v>
      </c>
      <c r="L19" s="15">
        <v>2.6901060000000001</v>
      </c>
      <c r="M19" s="15">
        <v>3.8801749999999999</v>
      </c>
      <c r="N19" s="15">
        <v>2.7351489999999998</v>
      </c>
      <c r="O19" s="15">
        <v>3.2368389999999998</v>
      </c>
    </row>
    <row r="20" spans="3:15" x14ac:dyDescent="0.2">
      <c r="C20" s="10">
        <v>1981</v>
      </c>
      <c r="D20" s="15">
        <v>2.9212669999999998</v>
      </c>
      <c r="E20" s="15">
        <v>1.9040809999999999</v>
      </c>
      <c r="F20" s="15">
        <v>2.1902309999999998</v>
      </c>
      <c r="G20" s="15">
        <v>1.497271</v>
      </c>
      <c r="H20" s="15">
        <v>1.3917470000000001</v>
      </c>
      <c r="I20" s="15">
        <v>3.3437459999999999</v>
      </c>
      <c r="J20" s="15">
        <v>3.2249080000000001</v>
      </c>
      <c r="K20" s="15">
        <v>2.6967729999999999</v>
      </c>
      <c r="L20" s="15">
        <v>2.2124329999999999</v>
      </c>
      <c r="M20" s="15">
        <v>3.57728</v>
      </c>
      <c r="N20" s="15">
        <v>3.3368859999999998</v>
      </c>
      <c r="O20" s="15">
        <v>2.3782049999999999</v>
      </c>
    </row>
    <row r="21" spans="3:15" x14ac:dyDescent="0.2">
      <c r="C21" s="10">
        <v>1982</v>
      </c>
      <c r="D21" s="15">
        <v>1.974556</v>
      </c>
      <c r="E21" s="15">
        <v>1.573931</v>
      </c>
      <c r="F21" s="15">
        <v>2.0835469999999998</v>
      </c>
      <c r="G21" s="15">
        <v>2.179084</v>
      </c>
      <c r="H21" s="15">
        <v>2.2830089999999998</v>
      </c>
      <c r="I21" s="15">
        <v>1.890034</v>
      </c>
      <c r="J21" s="15">
        <v>2.0649540000000002</v>
      </c>
      <c r="K21" s="15">
        <v>2.99932</v>
      </c>
      <c r="L21" s="15">
        <v>3.304144</v>
      </c>
      <c r="M21" s="15">
        <v>2.3347609999999999</v>
      </c>
      <c r="N21" s="15">
        <v>3.219824</v>
      </c>
      <c r="O21" s="15">
        <v>2.8263349999999998</v>
      </c>
    </row>
    <row r="22" spans="3:15" x14ac:dyDescent="0.2">
      <c r="C22" s="10">
        <v>1983</v>
      </c>
      <c r="D22" s="15">
        <v>3.5875530000000002</v>
      </c>
      <c r="E22" s="15">
        <v>1.5562100000000001</v>
      </c>
      <c r="F22" s="15">
        <v>2.402857</v>
      </c>
      <c r="G22" s="15">
        <v>2.0163129999999998</v>
      </c>
      <c r="H22" s="15">
        <v>2.5323229999999999</v>
      </c>
      <c r="I22" s="15">
        <v>2.170461</v>
      </c>
      <c r="J22" s="15">
        <v>2.2104180000000002</v>
      </c>
      <c r="K22" s="15">
        <v>2.2122609999999998</v>
      </c>
      <c r="L22" s="15">
        <v>3.8699020000000002</v>
      </c>
      <c r="M22" s="15">
        <v>3.874069</v>
      </c>
      <c r="N22" s="15">
        <v>2.8970509999999998</v>
      </c>
      <c r="O22" s="15">
        <v>3.0775000000000001</v>
      </c>
    </row>
    <row r="23" spans="3:15" x14ac:dyDescent="0.2">
      <c r="C23" s="10">
        <v>1984</v>
      </c>
      <c r="D23" s="15">
        <v>2.6880869999999999</v>
      </c>
      <c r="E23" s="15">
        <v>1.8845989999999999</v>
      </c>
      <c r="F23" s="15">
        <v>1.384935</v>
      </c>
      <c r="G23" s="15">
        <v>1.4439329999999999</v>
      </c>
      <c r="H23" s="15">
        <v>1.728939</v>
      </c>
      <c r="I23" s="15">
        <v>2.669187</v>
      </c>
      <c r="J23" s="15">
        <v>2.6247509999999998</v>
      </c>
      <c r="K23" s="15">
        <v>2.2441909999999998</v>
      </c>
      <c r="L23" s="15">
        <v>3.0962320000000001</v>
      </c>
      <c r="M23" s="15">
        <v>3.8406959999999999</v>
      </c>
      <c r="N23" s="15">
        <v>1.989549</v>
      </c>
      <c r="O23" s="15">
        <v>2.1511490000000002</v>
      </c>
    </row>
    <row r="24" spans="3:15" x14ac:dyDescent="0.2">
      <c r="C24" s="10">
        <v>1985</v>
      </c>
      <c r="D24" s="15">
        <v>1.8614090000000001</v>
      </c>
      <c r="E24" s="15">
        <v>1.52746</v>
      </c>
      <c r="F24" s="15">
        <v>2.1211039999999999</v>
      </c>
      <c r="G24" s="15">
        <v>2.0224310000000001</v>
      </c>
      <c r="H24" s="15">
        <v>1.48726</v>
      </c>
      <c r="I24" s="15">
        <v>2.192704</v>
      </c>
      <c r="J24" s="15">
        <v>2.8710619999999998</v>
      </c>
      <c r="K24" s="15">
        <v>3.4980530000000001</v>
      </c>
      <c r="L24" s="15">
        <v>3.610849</v>
      </c>
      <c r="M24" s="15">
        <v>3.0575860000000001</v>
      </c>
      <c r="N24" s="15">
        <v>2.6770700000000001</v>
      </c>
      <c r="O24" s="15">
        <v>2.7736079999999999</v>
      </c>
    </row>
    <row r="25" spans="3:15" x14ac:dyDescent="0.2">
      <c r="C25" s="10">
        <v>1986</v>
      </c>
      <c r="D25" s="15">
        <v>2.0815410000000001</v>
      </c>
      <c r="E25" s="15">
        <v>0.93858600000000003</v>
      </c>
      <c r="F25" s="15">
        <v>2.0937060000000001</v>
      </c>
      <c r="G25" s="15">
        <v>1.7476970000000001</v>
      </c>
      <c r="H25" s="15">
        <v>2.2144620000000002</v>
      </c>
      <c r="I25" s="15">
        <v>1.6653100000000001</v>
      </c>
      <c r="J25" s="15">
        <v>2.7411240000000001</v>
      </c>
      <c r="K25" s="15">
        <v>3.2159360000000001</v>
      </c>
      <c r="L25" s="15">
        <v>3.0220739999999999</v>
      </c>
      <c r="M25" s="15">
        <v>2.977741</v>
      </c>
      <c r="N25" s="15">
        <v>3.494459</v>
      </c>
      <c r="O25" s="15">
        <v>2.6388630000000002</v>
      </c>
    </row>
    <row r="26" spans="3:15" x14ac:dyDescent="0.2">
      <c r="C26" s="10">
        <v>1987</v>
      </c>
      <c r="D26" s="15">
        <v>1.6465590000000001</v>
      </c>
      <c r="E26" s="15">
        <v>2.2381829999999998</v>
      </c>
      <c r="F26" s="15">
        <v>1.5127520000000001</v>
      </c>
      <c r="G26" s="15">
        <v>1.3085869999999999</v>
      </c>
      <c r="H26" s="15">
        <v>2.015263</v>
      </c>
      <c r="I26" s="15">
        <v>3.1348280000000002</v>
      </c>
      <c r="J26" s="15">
        <v>2.4171390000000001</v>
      </c>
      <c r="K26" s="15">
        <v>3.3906489999999998</v>
      </c>
      <c r="L26" s="15">
        <v>3.0162149999999999</v>
      </c>
      <c r="M26" s="15">
        <v>2.6701839999999999</v>
      </c>
      <c r="N26" s="15">
        <v>2.4156010000000001</v>
      </c>
      <c r="O26" s="15">
        <v>2.5218020000000001</v>
      </c>
    </row>
    <row r="27" spans="3:15" x14ac:dyDescent="0.2">
      <c r="C27" s="10">
        <v>1988</v>
      </c>
      <c r="D27" s="15">
        <v>2.6932489999999998</v>
      </c>
      <c r="E27" s="15">
        <v>2.34815</v>
      </c>
      <c r="F27" s="15">
        <v>1.8881669999999999</v>
      </c>
      <c r="G27" s="15">
        <v>1.9837940000000001</v>
      </c>
      <c r="H27" s="15">
        <v>1.341243</v>
      </c>
      <c r="I27" s="15">
        <v>1.587202</v>
      </c>
      <c r="J27" s="15">
        <v>3.7343869999999999</v>
      </c>
      <c r="K27" s="15">
        <v>3.0818110000000001</v>
      </c>
      <c r="L27" s="15">
        <v>3.5244339999999998</v>
      </c>
      <c r="M27" s="15">
        <v>2.58447</v>
      </c>
      <c r="N27" s="15">
        <v>2.4164330000000001</v>
      </c>
      <c r="O27" s="15">
        <v>2.9264420000000002</v>
      </c>
    </row>
    <row r="28" spans="3:15" x14ac:dyDescent="0.2">
      <c r="C28" s="10">
        <v>1989</v>
      </c>
      <c r="D28" s="15">
        <v>3.2400600000000002</v>
      </c>
      <c r="E28" s="15">
        <v>3.2116030000000002</v>
      </c>
      <c r="F28" s="15">
        <v>2.5997699999999999</v>
      </c>
      <c r="G28" s="15">
        <v>1.7246809999999999</v>
      </c>
      <c r="H28" s="15">
        <v>2.1011679999999999</v>
      </c>
      <c r="I28" s="15">
        <v>2.4277739999999999</v>
      </c>
      <c r="J28" s="15">
        <v>2.3379120000000002</v>
      </c>
      <c r="K28" s="15">
        <v>3.2429739999999998</v>
      </c>
      <c r="L28" s="15">
        <v>2.2101030000000002</v>
      </c>
      <c r="M28" s="15">
        <v>2.6556540000000002</v>
      </c>
      <c r="N28" s="15">
        <v>2.2868750000000002</v>
      </c>
      <c r="O28" s="15">
        <v>2.5615700000000001</v>
      </c>
    </row>
    <row r="29" spans="3:15" x14ac:dyDescent="0.2">
      <c r="C29" s="10">
        <v>1990</v>
      </c>
      <c r="D29" s="15">
        <v>3.2588530000000002</v>
      </c>
      <c r="E29" s="15">
        <v>3.7012930000000002</v>
      </c>
      <c r="F29" s="15">
        <v>2.9112629999999999</v>
      </c>
      <c r="G29" s="15">
        <v>1.9044319999999999</v>
      </c>
      <c r="H29" s="15">
        <v>1.3778060000000001</v>
      </c>
      <c r="I29" s="15">
        <v>1.999347</v>
      </c>
      <c r="J29" s="15">
        <v>3.0553149999999998</v>
      </c>
      <c r="K29" s="15">
        <v>2.7910879999999998</v>
      </c>
      <c r="L29" s="15">
        <v>3.027244</v>
      </c>
      <c r="M29" s="15">
        <v>2.731252</v>
      </c>
      <c r="N29" s="15">
        <v>2.3564959999999999</v>
      </c>
      <c r="O29" s="15">
        <v>2.7980100000000001</v>
      </c>
    </row>
    <row r="30" spans="3:15" x14ac:dyDescent="0.2">
      <c r="C30" s="10">
        <v>1991</v>
      </c>
      <c r="D30" s="15">
        <v>2.3567149999999999</v>
      </c>
      <c r="E30" s="15">
        <v>1.477312</v>
      </c>
      <c r="F30" s="15">
        <v>1.914944</v>
      </c>
      <c r="G30" s="15">
        <v>1.57708</v>
      </c>
      <c r="H30" s="15">
        <v>1.949338</v>
      </c>
      <c r="I30" s="15">
        <v>3.4392529999999999</v>
      </c>
      <c r="J30" s="15">
        <v>1.785928</v>
      </c>
      <c r="K30" s="15">
        <v>2.4196080000000002</v>
      </c>
      <c r="L30" s="15">
        <v>3.1760419999999998</v>
      </c>
      <c r="M30" s="15">
        <v>2.252113</v>
      </c>
      <c r="N30" s="15">
        <v>3.4056350000000002</v>
      </c>
      <c r="O30" s="15">
        <v>2.5991840000000002</v>
      </c>
    </row>
    <row r="31" spans="3:15" x14ac:dyDescent="0.2">
      <c r="C31" s="10">
        <v>1992</v>
      </c>
      <c r="D31" s="15">
        <v>2.8223660000000002</v>
      </c>
      <c r="E31" s="15">
        <v>2.5048979999999998</v>
      </c>
      <c r="F31" s="15">
        <v>2.5234480000000001</v>
      </c>
      <c r="G31" s="15">
        <v>2.1613869999999999</v>
      </c>
      <c r="H31" s="15">
        <v>1.476599</v>
      </c>
      <c r="I31" s="15">
        <v>1.2524390000000001</v>
      </c>
      <c r="J31" s="15">
        <v>2.837008</v>
      </c>
      <c r="K31" s="15">
        <v>3.2840289999999999</v>
      </c>
      <c r="L31" s="15">
        <v>2.55688</v>
      </c>
      <c r="M31" s="15">
        <v>2.3203290000000001</v>
      </c>
      <c r="N31" s="15">
        <v>3.1887560000000001</v>
      </c>
      <c r="O31" s="15">
        <v>2.9681820000000001</v>
      </c>
    </row>
    <row r="32" spans="3:15" x14ac:dyDescent="0.2">
      <c r="C32" s="10">
        <v>1993</v>
      </c>
      <c r="D32" s="15">
        <v>3.2636090000000002</v>
      </c>
      <c r="E32" s="15">
        <v>2.4387400000000001</v>
      </c>
      <c r="F32" s="15">
        <v>2.019933</v>
      </c>
      <c r="G32" s="15">
        <v>1.3148260000000001</v>
      </c>
      <c r="H32" s="15">
        <v>1.3818079999999999</v>
      </c>
      <c r="I32" s="15">
        <v>2.107523</v>
      </c>
      <c r="J32" s="15">
        <v>3.2168559999999999</v>
      </c>
      <c r="K32" s="15">
        <v>3.1574399999999998</v>
      </c>
      <c r="L32" s="15">
        <v>1.805258</v>
      </c>
      <c r="M32" s="15">
        <v>2.7948059999999999</v>
      </c>
      <c r="N32" s="15">
        <v>1.231627</v>
      </c>
      <c r="O32" s="15">
        <v>3.043533</v>
      </c>
    </row>
    <row r="33" spans="3:15" x14ac:dyDescent="0.2">
      <c r="C33" s="10">
        <v>1994</v>
      </c>
      <c r="D33" s="15">
        <v>2.629194</v>
      </c>
      <c r="E33" s="15">
        <v>1.1090180000000001</v>
      </c>
      <c r="F33" s="15">
        <v>2.584972</v>
      </c>
      <c r="G33" s="15">
        <v>1.9278029999999999</v>
      </c>
      <c r="H33" s="15">
        <v>1.4455420000000001</v>
      </c>
      <c r="I33" s="15">
        <v>2.7835350000000001</v>
      </c>
      <c r="J33" s="15">
        <v>1.135786</v>
      </c>
      <c r="K33" s="15">
        <v>2.4519350000000002</v>
      </c>
      <c r="L33" s="15">
        <v>3.323175</v>
      </c>
      <c r="M33" s="15">
        <v>2.8446090000000002</v>
      </c>
      <c r="N33" s="15">
        <v>2.441926</v>
      </c>
      <c r="O33" s="15">
        <v>2.9892379999999998</v>
      </c>
    </row>
    <row r="34" spans="3:15" x14ac:dyDescent="0.2">
      <c r="C34" s="10">
        <v>1995</v>
      </c>
      <c r="D34" s="15">
        <v>2.889351</v>
      </c>
      <c r="E34" s="15">
        <v>3.0715460000000001</v>
      </c>
      <c r="F34" s="15">
        <v>2.6335350000000002</v>
      </c>
      <c r="G34" s="15">
        <v>2.0143990000000001</v>
      </c>
      <c r="H34" s="15">
        <v>2.18032</v>
      </c>
      <c r="I34" s="15">
        <v>2.6119159999999999</v>
      </c>
      <c r="J34" s="15">
        <v>2.252618</v>
      </c>
      <c r="K34" s="15">
        <v>2.23671</v>
      </c>
      <c r="L34" s="15">
        <v>2.50231</v>
      </c>
      <c r="M34" s="15">
        <v>3.2730410000000001</v>
      </c>
      <c r="N34" s="15">
        <v>2.5167709999999999</v>
      </c>
      <c r="O34" s="15">
        <v>1.4469050000000001</v>
      </c>
    </row>
    <row r="35" spans="3:15" x14ac:dyDescent="0.2">
      <c r="C35" s="10">
        <v>1996</v>
      </c>
      <c r="D35" s="15">
        <v>1.047064</v>
      </c>
      <c r="E35" s="15">
        <v>1.8928799999999999</v>
      </c>
      <c r="F35" s="15">
        <v>0.94233129999999998</v>
      </c>
      <c r="G35" s="15">
        <v>1.4863310000000001</v>
      </c>
      <c r="H35" s="15">
        <v>2.1972969999999998</v>
      </c>
      <c r="I35" s="15">
        <v>2.3742459999999999</v>
      </c>
      <c r="J35" s="15">
        <v>2.6161159999999999</v>
      </c>
      <c r="K35" s="15">
        <v>1.7805709999999999</v>
      </c>
      <c r="L35" s="15">
        <v>1.8966160000000001</v>
      </c>
      <c r="M35" s="15">
        <v>2.9149069999999999</v>
      </c>
      <c r="N35" s="15">
        <v>3.4466049999999999</v>
      </c>
      <c r="O35" s="15">
        <v>2.175824</v>
      </c>
    </row>
    <row r="36" spans="3:15" x14ac:dyDescent="0.2">
      <c r="C36" s="10">
        <v>1997</v>
      </c>
      <c r="D36" s="15">
        <v>2.1492119999999999</v>
      </c>
      <c r="E36" s="15">
        <v>3.0983239999999999</v>
      </c>
      <c r="F36" s="15">
        <v>2.3860890000000001</v>
      </c>
      <c r="G36" s="15">
        <v>2.1947459999999999</v>
      </c>
      <c r="H36" s="15">
        <v>2.0580609999999999</v>
      </c>
      <c r="I36" s="15">
        <v>2.0859209999999999</v>
      </c>
      <c r="J36" s="15">
        <v>1.7652369999999999</v>
      </c>
      <c r="K36" s="15">
        <v>1.811609</v>
      </c>
      <c r="L36" s="15">
        <v>3.4540440000000001</v>
      </c>
      <c r="M36" s="15">
        <v>3.093674</v>
      </c>
      <c r="N36" s="15">
        <v>2.0137</v>
      </c>
      <c r="O36" s="15">
        <v>2.033852</v>
      </c>
    </row>
    <row r="37" spans="3:15" x14ac:dyDescent="0.2">
      <c r="C37" s="10">
        <v>1998</v>
      </c>
      <c r="D37" s="15">
        <v>2.7578339999999999</v>
      </c>
      <c r="E37" s="15">
        <v>3.428766</v>
      </c>
      <c r="F37" s="15">
        <v>2.1266889999999998</v>
      </c>
      <c r="G37" s="15">
        <v>1.6627289999999999</v>
      </c>
      <c r="H37" s="15">
        <v>1.850754</v>
      </c>
      <c r="I37" s="15">
        <v>3.3235229999999998</v>
      </c>
      <c r="J37" s="15">
        <v>3.3354590000000002</v>
      </c>
      <c r="K37" s="15">
        <v>3.3399369999999999</v>
      </c>
      <c r="L37" s="15">
        <v>2.3454030000000001</v>
      </c>
      <c r="M37" s="15">
        <v>3.559596</v>
      </c>
      <c r="N37" s="15">
        <v>1.8407500000000001</v>
      </c>
      <c r="O37" s="15">
        <v>2.7569499999999998</v>
      </c>
    </row>
    <row r="38" spans="3:15" x14ac:dyDescent="0.2">
      <c r="C38" s="10">
        <v>1999</v>
      </c>
      <c r="D38" s="15">
        <v>2.4717380000000002</v>
      </c>
      <c r="E38" s="15">
        <v>2.8067700000000002</v>
      </c>
      <c r="F38" s="15">
        <v>1.9778279999999999</v>
      </c>
      <c r="G38" s="15">
        <v>2.0655839999999999</v>
      </c>
      <c r="H38" s="15">
        <v>1.5144059999999999</v>
      </c>
      <c r="I38" s="15">
        <v>2.7447940000000002</v>
      </c>
      <c r="J38" s="15">
        <v>2.4091429999999998</v>
      </c>
      <c r="K38" s="15">
        <v>2.346349</v>
      </c>
      <c r="L38" s="15">
        <v>2.2733140000000001</v>
      </c>
      <c r="M38" s="15">
        <v>2.9954909999999999</v>
      </c>
      <c r="N38" s="15">
        <v>3.0584950000000002</v>
      </c>
      <c r="O38" s="15">
        <v>3.161438</v>
      </c>
    </row>
    <row r="39" spans="3:15" x14ac:dyDescent="0.2">
      <c r="C39" s="10">
        <v>2000</v>
      </c>
      <c r="D39" s="15">
        <v>2.938367</v>
      </c>
      <c r="E39" s="15">
        <v>2.661994</v>
      </c>
      <c r="F39" s="15">
        <v>2.5345610000000001</v>
      </c>
      <c r="G39" s="15">
        <v>2.0984500000000001</v>
      </c>
      <c r="H39" s="15">
        <v>1.941451</v>
      </c>
      <c r="I39" s="15">
        <v>3.127046</v>
      </c>
      <c r="J39" s="15">
        <v>3.076355</v>
      </c>
      <c r="K39" s="15">
        <v>2.6703139999999999</v>
      </c>
      <c r="L39" s="15">
        <v>1.916415</v>
      </c>
      <c r="M39" s="15">
        <v>2.8807360000000002</v>
      </c>
      <c r="N39" s="15">
        <v>3.1630989999999999</v>
      </c>
      <c r="O39" s="15">
        <v>2.4457800000000001</v>
      </c>
    </row>
    <row r="40" spans="3:15" x14ac:dyDescent="0.2">
      <c r="C40" s="10">
        <v>2001</v>
      </c>
      <c r="D40" s="15">
        <v>1.8699809999999999</v>
      </c>
      <c r="E40" s="15">
        <v>2.3298410000000001</v>
      </c>
      <c r="F40" s="15">
        <v>1.4233340000000001</v>
      </c>
      <c r="G40" s="15">
        <v>2.305831</v>
      </c>
      <c r="H40" s="15">
        <v>1.712367</v>
      </c>
      <c r="I40" s="15">
        <v>2.476702</v>
      </c>
      <c r="J40" s="15">
        <v>3.1245400000000001</v>
      </c>
      <c r="K40" s="15">
        <v>3.0810719999999998</v>
      </c>
      <c r="L40" s="15">
        <v>2.9148900000000002</v>
      </c>
      <c r="M40" s="15">
        <v>2.9183789999999998</v>
      </c>
      <c r="N40" s="15">
        <v>3.178722</v>
      </c>
      <c r="O40" s="15">
        <v>2.0808409999999999</v>
      </c>
    </row>
    <row r="41" spans="3:15" x14ac:dyDescent="0.2">
      <c r="C41" s="10">
        <v>2002</v>
      </c>
      <c r="D41" s="15">
        <v>2.9366560000000002</v>
      </c>
      <c r="E41" s="15">
        <v>3.2174320000000001</v>
      </c>
      <c r="F41" s="15">
        <v>2.1066449999999999</v>
      </c>
      <c r="G41" s="15">
        <v>1.2862579999999999</v>
      </c>
      <c r="H41" s="15">
        <v>1.509746</v>
      </c>
      <c r="I41" s="15">
        <v>2.55782</v>
      </c>
      <c r="J41" s="15">
        <v>2.8461539999999999</v>
      </c>
      <c r="K41" s="15">
        <v>1.4991650000000001</v>
      </c>
      <c r="L41" s="15">
        <v>2.0969380000000002</v>
      </c>
      <c r="M41" s="15">
        <v>2.2673589999999999</v>
      </c>
      <c r="N41" s="15">
        <v>1.8248789999999999</v>
      </c>
      <c r="O41" s="15">
        <v>1.3691139999999999</v>
      </c>
    </row>
    <row r="42" spans="3:15" x14ac:dyDescent="0.2">
      <c r="C42" s="10">
        <v>2003</v>
      </c>
      <c r="D42" s="15">
        <v>2.5851459999999999</v>
      </c>
      <c r="E42" s="15">
        <v>1.3078510000000001</v>
      </c>
      <c r="F42" s="15">
        <v>1.7095199999999999</v>
      </c>
      <c r="G42" s="15">
        <v>1.539731</v>
      </c>
      <c r="H42" s="15">
        <v>2.5305490000000002</v>
      </c>
      <c r="I42" s="15">
        <v>2.043866</v>
      </c>
      <c r="J42" s="15">
        <v>2.338625</v>
      </c>
      <c r="K42" s="15">
        <v>2.8929990000000001</v>
      </c>
      <c r="L42" s="15">
        <v>2.5717490000000001</v>
      </c>
      <c r="M42" s="15">
        <v>2.5701309999999999</v>
      </c>
      <c r="N42" s="15">
        <v>2.0847720000000001</v>
      </c>
      <c r="O42" s="15">
        <v>3.291188</v>
      </c>
    </row>
    <row r="43" spans="3:15" x14ac:dyDescent="0.2">
      <c r="C43" s="10">
        <v>2004</v>
      </c>
      <c r="D43" s="15">
        <v>2.0245479999999998</v>
      </c>
      <c r="E43" s="15">
        <v>2.3717820000000001</v>
      </c>
      <c r="F43" s="15">
        <v>1.6789719999999999</v>
      </c>
      <c r="G43" s="15">
        <v>1.2578279999999999</v>
      </c>
      <c r="H43" s="15">
        <v>1.8432329999999999</v>
      </c>
      <c r="I43" s="15">
        <v>2.7340710000000001</v>
      </c>
      <c r="J43" s="15">
        <v>3.0956459999999999</v>
      </c>
      <c r="K43" s="15">
        <v>2.9111980000000002</v>
      </c>
      <c r="L43" s="15">
        <v>3.3302100000000001</v>
      </c>
      <c r="M43" s="15">
        <v>2.4261810000000001</v>
      </c>
      <c r="N43" s="15">
        <v>2.988683</v>
      </c>
      <c r="O43" s="15">
        <v>3.2226910000000002</v>
      </c>
    </row>
    <row r="44" spans="3:15" x14ac:dyDescent="0.2">
      <c r="C44" s="10">
        <v>2005</v>
      </c>
      <c r="D44" s="15">
        <v>3.3185690000000001</v>
      </c>
      <c r="E44" s="15">
        <v>1.8375269999999999</v>
      </c>
      <c r="F44" s="15">
        <v>1.355464</v>
      </c>
      <c r="G44" s="15">
        <v>1.4384410000000001</v>
      </c>
      <c r="H44" s="15">
        <v>2.623675</v>
      </c>
      <c r="I44" s="15">
        <v>2.5779390000000002</v>
      </c>
      <c r="J44" s="15">
        <v>2.4639929999999999</v>
      </c>
      <c r="K44" s="15">
        <v>3.3734470000000001</v>
      </c>
      <c r="L44" s="15">
        <v>2.8085100000000001</v>
      </c>
      <c r="M44" s="15">
        <v>2.5420630000000002</v>
      </c>
      <c r="N44" s="15">
        <v>3.2525230000000001</v>
      </c>
      <c r="O44" s="15">
        <v>2.2521309999999999</v>
      </c>
    </row>
    <row r="45" spans="3:15" x14ac:dyDescent="0.2">
      <c r="C45" s="10">
        <v>2006</v>
      </c>
      <c r="D45" s="15">
        <v>2.1189689999999999</v>
      </c>
      <c r="E45" s="15">
        <v>1.8508560000000001</v>
      </c>
      <c r="F45" s="15">
        <v>1.501206</v>
      </c>
      <c r="G45" s="15">
        <v>1.802446</v>
      </c>
      <c r="H45" s="15">
        <v>2.0087899999999999</v>
      </c>
      <c r="I45" s="15">
        <v>1.830422</v>
      </c>
      <c r="J45" s="15">
        <v>1.6991989999999999</v>
      </c>
      <c r="K45" s="15">
        <v>2.6044640000000001</v>
      </c>
      <c r="L45" s="15">
        <v>2.555806</v>
      </c>
      <c r="M45" s="15">
        <v>3.5620560000000001</v>
      </c>
      <c r="N45" s="15">
        <v>3.4863620000000002</v>
      </c>
      <c r="O45" s="15">
        <v>3.3753220000000002</v>
      </c>
    </row>
    <row r="46" spans="3:15" x14ac:dyDescent="0.2">
      <c r="C46" s="10">
        <v>2007</v>
      </c>
      <c r="D46" s="15">
        <v>3.5311780000000002</v>
      </c>
      <c r="E46" s="15">
        <v>1.8848769999999999</v>
      </c>
      <c r="F46" s="15">
        <v>1.9274960000000001</v>
      </c>
      <c r="G46" s="15">
        <v>1.9934810000000001</v>
      </c>
      <c r="H46" s="15">
        <v>2.4787970000000001</v>
      </c>
      <c r="I46" s="15">
        <v>2.0198969999999998</v>
      </c>
      <c r="J46" s="15">
        <v>3.4622850000000001</v>
      </c>
      <c r="K46" s="15">
        <v>2.8893849999999999</v>
      </c>
      <c r="L46" s="15">
        <v>3.2923529999999999</v>
      </c>
      <c r="M46" s="15">
        <v>2.5099520000000002</v>
      </c>
      <c r="N46" s="15">
        <v>2.9409510000000001</v>
      </c>
      <c r="O46" s="15">
        <v>2.6863839999999999</v>
      </c>
    </row>
    <row r="47" spans="3:15" x14ac:dyDescent="0.2">
      <c r="C47" s="10">
        <v>2008</v>
      </c>
      <c r="D47" s="15">
        <v>2.9974509999999999</v>
      </c>
      <c r="E47" s="15">
        <v>2.5981540000000001</v>
      </c>
      <c r="F47" s="15">
        <v>2.3522699999999999</v>
      </c>
      <c r="G47" s="15">
        <v>1.680285</v>
      </c>
      <c r="H47" s="15">
        <v>1.2810980000000001</v>
      </c>
      <c r="I47" s="15">
        <v>2.4914100000000001</v>
      </c>
      <c r="J47" s="15">
        <v>2.2162289999999998</v>
      </c>
      <c r="K47" s="15">
        <v>3.4149340000000001</v>
      </c>
      <c r="L47" s="15">
        <v>2.0570550000000001</v>
      </c>
      <c r="M47" s="15">
        <v>3.8516159999999999</v>
      </c>
      <c r="N47" s="15">
        <v>3.068495</v>
      </c>
      <c r="O47" s="15">
        <v>2.2410299999999999</v>
      </c>
    </row>
    <row r="48" spans="3:15" x14ac:dyDescent="0.2">
      <c r="C48" s="10">
        <v>2009</v>
      </c>
      <c r="D48" s="15">
        <v>2.1825860000000001</v>
      </c>
      <c r="E48" s="15">
        <v>1.9472320000000001</v>
      </c>
      <c r="F48" s="15">
        <v>1.8892659999999999</v>
      </c>
      <c r="G48" s="15">
        <v>1.1875640000000001</v>
      </c>
      <c r="H48" s="15">
        <v>1.9940249999999999</v>
      </c>
      <c r="I48" s="15">
        <v>2.3391929999999999</v>
      </c>
      <c r="J48" s="15">
        <v>3.2888700000000002</v>
      </c>
      <c r="K48" s="15">
        <v>2.8705159999999998</v>
      </c>
      <c r="L48" s="15">
        <v>3.1868979999999998</v>
      </c>
      <c r="M48" s="15">
        <v>2.5754090000000001</v>
      </c>
      <c r="N48" s="15">
        <v>2.9220709999999999</v>
      </c>
      <c r="O48" s="15">
        <v>2.1546850000000002</v>
      </c>
    </row>
    <row r="49" spans="3:15" x14ac:dyDescent="0.2">
      <c r="C49" s="10">
        <v>2010</v>
      </c>
      <c r="D49" s="15">
        <v>1.5469310000000001</v>
      </c>
      <c r="E49" s="15">
        <v>1.924336</v>
      </c>
      <c r="F49" s="15">
        <v>2.006758</v>
      </c>
      <c r="G49" s="15">
        <v>1.6575979999999999</v>
      </c>
      <c r="H49" s="15">
        <v>2.1268760000000002</v>
      </c>
      <c r="I49" s="15">
        <v>2.4637850000000001</v>
      </c>
      <c r="J49" s="15">
        <v>3.0369959999999998</v>
      </c>
      <c r="K49" s="15">
        <v>3.060889</v>
      </c>
      <c r="L49" s="15">
        <v>2.5752100000000002</v>
      </c>
      <c r="M49" s="15">
        <v>2.8390550000000001</v>
      </c>
      <c r="N49" s="15">
        <v>2.4215249999999999</v>
      </c>
      <c r="O49" s="15">
        <v>2.0907789999999999</v>
      </c>
    </row>
    <row r="50" spans="3:15" x14ac:dyDescent="0.2">
      <c r="C50" s="10">
        <v>2011</v>
      </c>
      <c r="D50" s="15">
        <v>2.5029400000000002</v>
      </c>
      <c r="E50" s="15">
        <v>1.907956</v>
      </c>
      <c r="F50" s="15">
        <v>2.1345329999999998</v>
      </c>
      <c r="G50" s="15">
        <v>1.5503370000000001</v>
      </c>
      <c r="H50" s="15">
        <v>2.2372860000000001</v>
      </c>
      <c r="I50" s="15">
        <v>2.7607910000000002</v>
      </c>
      <c r="J50" s="15">
        <v>3.2081040000000001</v>
      </c>
      <c r="K50" s="15">
        <v>3.3339500000000002</v>
      </c>
      <c r="L50" s="15">
        <v>3.4986709999999999</v>
      </c>
      <c r="M50" s="15">
        <v>3.1076139999999999</v>
      </c>
      <c r="N50" s="15">
        <v>2.3610669999999998</v>
      </c>
      <c r="O50" s="15">
        <v>3.5188160000000002</v>
      </c>
    </row>
    <row r="51" spans="3:15" x14ac:dyDescent="0.2">
      <c r="C51" s="10">
        <v>2012</v>
      </c>
      <c r="D51" s="15">
        <v>2.483257</v>
      </c>
      <c r="E51" s="15">
        <v>2.5844260000000001</v>
      </c>
      <c r="F51" s="15">
        <v>2.209212</v>
      </c>
      <c r="G51" s="15">
        <v>2.2257950000000002</v>
      </c>
      <c r="H51" s="15">
        <v>2.1549290000000001</v>
      </c>
      <c r="I51" s="15">
        <v>2.9122919999999999</v>
      </c>
      <c r="J51" s="15">
        <v>3.3339850000000002</v>
      </c>
      <c r="K51" s="15">
        <v>2.610411</v>
      </c>
      <c r="L51" s="15">
        <v>3.5883850000000002</v>
      </c>
      <c r="M51" s="15">
        <v>3.2662230000000001</v>
      </c>
      <c r="N51" s="15">
        <v>3.0160559999999998</v>
      </c>
      <c r="O51" s="15">
        <v>2.4497620000000002</v>
      </c>
    </row>
    <row r="52" spans="3:15" x14ac:dyDescent="0.2">
      <c r="C52" s="10">
        <v>2013</v>
      </c>
      <c r="D52" s="15">
        <v>1.8190459999999999</v>
      </c>
      <c r="E52" s="15">
        <v>1.6299239999999999</v>
      </c>
      <c r="F52" s="15">
        <v>1.215514</v>
      </c>
      <c r="G52" s="15">
        <v>1.950385</v>
      </c>
      <c r="H52" s="15">
        <v>1.936158</v>
      </c>
      <c r="I52" s="15">
        <v>2.8006129999999998</v>
      </c>
      <c r="J52" s="15">
        <v>2.4633189999999998</v>
      </c>
      <c r="K52" s="15">
        <v>2.6038790000000001</v>
      </c>
      <c r="L52" s="15">
        <v>2.3857529999999998</v>
      </c>
      <c r="M52" s="15">
        <v>2.9274819999999999</v>
      </c>
      <c r="N52" s="15">
        <v>3.2364799999999998</v>
      </c>
      <c r="O52" s="15">
        <v>3.5130349999999999</v>
      </c>
    </row>
    <row r="53" spans="3:15" x14ac:dyDescent="0.2">
      <c r="C53" s="10">
        <v>2014</v>
      </c>
      <c r="D53" s="15">
        <v>1.83467</v>
      </c>
      <c r="E53" s="15">
        <v>2.2737569999999998</v>
      </c>
      <c r="F53" s="15">
        <v>2.330835</v>
      </c>
      <c r="G53" s="15">
        <v>1.6413169999999999</v>
      </c>
      <c r="H53" s="15">
        <v>2.116914</v>
      </c>
      <c r="I53" s="15">
        <v>2.231357</v>
      </c>
      <c r="J53" s="15">
        <v>1.890115</v>
      </c>
      <c r="K53" s="15">
        <v>3.4023439999999998</v>
      </c>
      <c r="L53" s="15">
        <v>1.983717</v>
      </c>
      <c r="M53" s="15">
        <v>3.1322329999999998</v>
      </c>
      <c r="N53" s="15">
        <v>2.1423760000000001</v>
      </c>
      <c r="O53" s="15">
        <v>3.1095259999999998</v>
      </c>
    </row>
    <row r="54" spans="3:15" x14ac:dyDescent="0.2">
      <c r="C54" s="10">
        <v>2015</v>
      </c>
      <c r="D54" s="15">
        <v>3.3157009999999998</v>
      </c>
      <c r="E54" s="15">
        <v>2.465455</v>
      </c>
      <c r="F54" s="15">
        <v>2.3438680000000001</v>
      </c>
      <c r="G54" s="15">
        <v>2.1288649999999998</v>
      </c>
      <c r="H54" s="15">
        <v>2.8145169999999999</v>
      </c>
      <c r="I54" s="15">
        <v>2.573337</v>
      </c>
      <c r="J54" s="15">
        <v>3.2704200000000001</v>
      </c>
      <c r="K54" s="15">
        <v>2.1014849999999998</v>
      </c>
      <c r="L54" s="15">
        <v>2.9963600000000001</v>
      </c>
      <c r="M54" s="15">
        <v>1.8156920000000001</v>
      </c>
      <c r="N54" s="15">
        <v>3.4639890000000002</v>
      </c>
      <c r="O54" s="15">
        <v>3.3548710000000002</v>
      </c>
    </row>
    <row r="55" spans="3:15" x14ac:dyDescent="0.2">
      <c r="C55" s="10">
        <v>2016</v>
      </c>
      <c r="D55" s="15">
        <v>2.1162830000000001</v>
      </c>
      <c r="E55" s="15">
        <v>2.5020389999999999</v>
      </c>
      <c r="F55" s="15">
        <v>1.6549739999999999</v>
      </c>
      <c r="G55" s="15">
        <v>2.189381</v>
      </c>
      <c r="H55" s="15">
        <v>1.5951709999999999</v>
      </c>
      <c r="I55" s="15">
        <v>2.5267759999999999</v>
      </c>
      <c r="J55" s="15">
        <v>3.3048120000000001</v>
      </c>
      <c r="K55" s="15">
        <v>3.5211450000000002</v>
      </c>
      <c r="L55" s="15">
        <v>2.1471879999999999</v>
      </c>
      <c r="M55" s="15">
        <v>1.66042</v>
      </c>
      <c r="N55" s="15">
        <v>3.092749</v>
      </c>
      <c r="O55" s="15">
        <v>2.7703000000000002</v>
      </c>
    </row>
    <row r="56" spans="3:15" x14ac:dyDescent="0.2">
      <c r="C56" s="11">
        <v>2017</v>
      </c>
      <c r="D56" s="15">
        <v>2.4437579999999999</v>
      </c>
      <c r="E56" s="15">
        <v>2.0246580000000001</v>
      </c>
      <c r="F56" s="15">
        <v>2.225787</v>
      </c>
      <c r="G56" s="15">
        <v>2.2880090000000002</v>
      </c>
      <c r="H56" s="15">
        <v>1.4134180000000001</v>
      </c>
      <c r="I56" s="15">
        <v>2.6957849999999999</v>
      </c>
      <c r="J56" s="15">
        <v>2.842984</v>
      </c>
      <c r="K56" s="15">
        <v>3.5426139999999999</v>
      </c>
      <c r="L56" s="15">
        <v>2.753282</v>
      </c>
      <c r="M56" s="15">
        <v>3.6803910000000002</v>
      </c>
      <c r="N56" s="15">
        <v>3.3663419999999999</v>
      </c>
      <c r="O56" s="15">
        <v>3.3367680000000002</v>
      </c>
    </row>
    <row r="57" spans="3:15" x14ac:dyDescent="0.2">
      <c r="C57" s="11">
        <v>2018</v>
      </c>
      <c r="D57" s="15">
        <v>2.4599039999999999</v>
      </c>
      <c r="E57" s="15">
        <v>1.4352830000000001</v>
      </c>
      <c r="F57" s="15">
        <v>1.4625889999999999</v>
      </c>
      <c r="G57" s="15">
        <v>1.7756320000000001</v>
      </c>
      <c r="H57" s="15">
        <v>1.042786</v>
      </c>
      <c r="I57" s="15">
        <v>2.1810589999999999</v>
      </c>
      <c r="J57" s="15">
        <v>1.5277240000000001</v>
      </c>
      <c r="K57" s="15">
        <v>3.524988</v>
      </c>
      <c r="L57" s="15">
        <v>3.77671</v>
      </c>
      <c r="M57" s="15">
        <v>2.8725000000000001</v>
      </c>
      <c r="N57" s="15">
        <v>1.785757</v>
      </c>
      <c r="O57" s="15">
        <v>2.4768870000000001</v>
      </c>
    </row>
    <row r="58" spans="3:15" x14ac:dyDescent="0.2">
      <c r="C58" s="11">
        <v>2019</v>
      </c>
      <c r="D58" s="15">
        <v>2.4673080000000001</v>
      </c>
      <c r="E58" s="15">
        <v>2.6229390000000001</v>
      </c>
      <c r="F58" s="15">
        <v>2.8929119999999999</v>
      </c>
      <c r="G58" s="15">
        <v>0.73741129999999999</v>
      </c>
      <c r="H58" s="15">
        <v>2.6075490000000001</v>
      </c>
      <c r="I58" s="15">
        <v>2.5371389999999998</v>
      </c>
      <c r="J58" s="15">
        <v>2.0738370000000002</v>
      </c>
      <c r="K58" s="15">
        <v>2.8115009999999998</v>
      </c>
      <c r="L58" s="15">
        <v>3.322692</v>
      </c>
      <c r="M58" s="15">
        <v>3.1446019999999999</v>
      </c>
      <c r="N58" s="15">
        <v>2.6687080000000001</v>
      </c>
      <c r="O58" s="15">
        <v>3.1960760000000001</v>
      </c>
    </row>
    <row r="59" spans="3:15" x14ac:dyDescent="0.2">
      <c r="C59" s="11">
        <v>2020</v>
      </c>
      <c r="D59" s="15">
        <v>3.6120510000000001</v>
      </c>
      <c r="E59" s="15">
        <v>3.3984679999999998</v>
      </c>
      <c r="F59" s="15">
        <v>2.6593520000000002</v>
      </c>
      <c r="G59" s="15">
        <v>1.778805</v>
      </c>
      <c r="H59" s="15">
        <v>1.780864</v>
      </c>
      <c r="I59" s="15">
        <v>2.051301</v>
      </c>
      <c r="J59" s="15">
        <v>3.5503909999999999</v>
      </c>
      <c r="K59" s="15">
        <v>2.2552180000000002</v>
      </c>
      <c r="L59" s="15">
        <v>3.1915870000000002</v>
      </c>
      <c r="M59" s="15">
        <v>3.1680229999999998</v>
      </c>
      <c r="N59" s="15">
        <v>3.3009759999999999</v>
      </c>
      <c r="O59" s="15">
        <v>2.7479990000000001</v>
      </c>
    </row>
    <row r="60" spans="3:15" x14ac:dyDescent="0.2">
      <c r="C60" s="11">
        <v>2021</v>
      </c>
      <c r="D60" s="15">
        <v>2.289479</v>
      </c>
      <c r="E60" s="15">
        <v>1.778613</v>
      </c>
      <c r="F60" s="15">
        <v>2.1081560000000001</v>
      </c>
      <c r="G60" s="15">
        <v>1.8258220000000001</v>
      </c>
      <c r="H60" s="15">
        <v>2.5435340000000002</v>
      </c>
      <c r="I60" s="15">
        <v>2.0279039999999999</v>
      </c>
      <c r="J60" s="15">
        <v>2.3145030000000002</v>
      </c>
      <c r="K60" s="15">
        <v>3.3342909999999999</v>
      </c>
      <c r="L60" s="15">
        <v>2.512394</v>
      </c>
      <c r="M60" s="15">
        <v>3.9739629999999999</v>
      </c>
      <c r="N60" s="15">
        <v>3.012337</v>
      </c>
      <c r="O60" s="15">
        <v>2.1832980000000002</v>
      </c>
    </row>
    <row r="61" spans="3:15" x14ac:dyDescent="0.2">
      <c r="C61" s="11">
        <v>2022</v>
      </c>
      <c r="D61" s="15">
        <v>3.2080389999999999</v>
      </c>
      <c r="E61" s="15">
        <v>3.253463</v>
      </c>
      <c r="F61" s="15">
        <v>1.3864460000000001</v>
      </c>
      <c r="G61" s="15">
        <v>1.6099250000000001</v>
      </c>
      <c r="H61" s="15">
        <v>2.262022</v>
      </c>
      <c r="I61" s="15">
        <v>2.3390930000000001</v>
      </c>
      <c r="J61" s="15">
        <v>3.2188880000000002</v>
      </c>
      <c r="K61" s="15">
        <v>3.1002100000000001</v>
      </c>
      <c r="L61" s="15">
        <v>2.3592949999999999</v>
      </c>
      <c r="M61" s="15">
        <v>2.913014</v>
      </c>
      <c r="N61" s="15">
        <v>2.165667</v>
      </c>
      <c r="O61" s="15">
        <v>2.7197499999999999</v>
      </c>
    </row>
    <row r="62" spans="3:15" x14ac:dyDescent="0.2">
      <c r="C62" s="11">
        <v>2023</v>
      </c>
      <c r="D62" s="15">
        <v>3.2815840000000001</v>
      </c>
      <c r="E62" s="15">
        <v>2.494901</v>
      </c>
      <c r="F62" s="15">
        <v>2.5863369999999999</v>
      </c>
      <c r="G62" s="15">
        <v>1.3673759999999999</v>
      </c>
      <c r="H62" s="15">
        <v>1.60059</v>
      </c>
      <c r="I62" s="15">
        <v>1.4728730000000001</v>
      </c>
      <c r="J62" s="15">
        <v>3.2251300000000001</v>
      </c>
      <c r="K62" s="15">
        <v>3.8571330000000001</v>
      </c>
      <c r="L62" s="15">
        <v>3.3859050000000002</v>
      </c>
      <c r="M62" s="15">
        <v>3.4459439999999999</v>
      </c>
      <c r="N62" s="15">
        <v>2.6723710000000001</v>
      </c>
      <c r="O62" s="15">
        <v>2.5557989999999999</v>
      </c>
    </row>
    <row r="63" spans="3:15" x14ac:dyDescent="0.2">
      <c r="C63" s="11">
        <v>2024</v>
      </c>
      <c r="D63" s="15">
        <v>2.7648380000000001</v>
      </c>
      <c r="E63" s="15">
        <v>2.8839589999999999</v>
      </c>
      <c r="F63" s="15">
        <v>1.735506</v>
      </c>
      <c r="G63" s="15">
        <v>2.3740600000000001</v>
      </c>
      <c r="H63" s="15">
        <v>1.1178189999999999</v>
      </c>
      <c r="I63" s="15">
        <v>2.9871409999999998</v>
      </c>
      <c r="J63" s="15">
        <v>3.4703349999999999</v>
      </c>
      <c r="K63" s="15">
        <v>3.2523390000000001</v>
      </c>
      <c r="L63" s="15">
        <v>2.7766190000000002</v>
      </c>
      <c r="M63" s="15">
        <v>3.1793490000000002</v>
      </c>
      <c r="N63" s="15">
        <v>2.9667979999999998</v>
      </c>
      <c r="O63" s="15">
        <v>3.3229250000000001</v>
      </c>
    </row>
    <row r="64" spans="3:15" x14ac:dyDescent="0.2">
      <c r="C64" s="11">
        <v>2025</v>
      </c>
      <c r="D64" s="15">
        <v>3.0586129999999998</v>
      </c>
      <c r="E64" s="15">
        <v>1.6055619999999999</v>
      </c>
      <c r="F64" s="15">
        <v>2.2134200000000002</v>
      </c>
      <c r="G64" s="15">
        <v>1.7273130000000001</v>
      </c>
      <c r="H64" s="15">
        <v>2.0845720000000001</v>
      </c>
      <c r="I64" s="15">
        <v>2.9532240000000001</v>
      </c>
      <c r="J64" s="15">
        <v>2.6151309999999999</v>
      </c>
      <c r="K64" s="15">
        <v>2.991304</v>
      </c>
      <c r="L64" s="15">
        <v>2.8908119999999999</v>
      </c>
      <c r="M64" s="15">
        <v>3.2920370000000001</v>
      </c>
      <c r="N64" s="15">
        <v>3.029938</v>
      </c>
      <c r="O64" s="15">
        <v>2.815372</v>
      </c>
    </row>
    <row r="65" spans="2:15" x14ac:dyDescent="0.2">
      <c r="C65" s="12">
        <v>2026</v>
      </c>
      <c r="D65" s="15">
        <v>1.5029999999999999</v>
      </c>
      <c r="E65" s="15">
        <v>1.641</v>
      </c>
      <c r="F65" s="15">
        <v>2.2989999999999999</v>
      </c>
      <c r="G65" s="15">
        <v>1.2475210000000001</v>
      </c>
      <c r="H65" s="15"/>
      <c r="I65" s="15"/>
      <c r="J65" s="15"/>
      <c r="K65" s="15"/>
      <c r="L65" s="15"/>
      <c r="M65" s="15"/>
      <c r="N65" s="15"/>
      <c r="O65" s="15"/>
    </row>
    <row r="66" spans="2:15" x14ac:dyDescent="0.2">
      <c r="C66" s="7" t="s">
        <v>22</v>
      </c>
      <c r="D66" s="17">
        <f>AVERAGE(D15:D64)</f>
        <v>2.5391678999999994</v>
      </c>
      <c r="E66" s="17">
        <f t="shared" ref="E66:O66" si="3">AVERAGE(E15:E64)</f>
        <v>2.1988499999999997</v>
      </c>
      <c r="F66" s="17">
        <f t="shared" si="3"/>
        <v>2.0252488659999996</v>
      </c>
      <c r="G66" s="17">
        <f t="shared" si="3"/>
        <v>1.7748912660000002</v>
      </c>
      <c r="H66" s="17">
        <f t="shared" si="3"/>
        <v>1.8726088619999992</v>
      </c>
      <c r="I66" s="17">
        <f t="shared" si="3"/>
        <v>2.4002571399999999</v>
      </c>
      <c r="J66" s="17">
        <f t="shared" si="3"/>
        <v>2.68382392</v>
      </c>
      <c r="K66" s="17">
        <f t="shared" si="3"/>
        <v>2.8455032200000003</v>
      </c>
      <c r="L66" s="17">
        <f t="shared" si="3"/>
        <v>2.8339356400000009</v>
      </c>
      <c r="M66" s="17">
        <f t="shared" si="3"/>
        <v>2.9197467199999996</v>
      </c>
      <c r="N66" s="17">
        <f t="shared" si="3"/>
        <v>2.7837798200000003</v>
      </c>
      <c r="O66" s="17">
        <f t="shared" si="3"/>
        <v>2.6627293200000008</v>
      </c>
    </row>
    <row r="67" spans="2:15" x14ac:dyDescent="0.2">
      <c r="C67" s="8" t="s">
        <v>17</v>
      </c>
      <c r="D67" s="18">
        <f>MIN(D15:D64)</f>
        <v>1.047064</v>
      </c>
      <c r="E67" s="18">
        <f t="shared" ref="E67:O67" si="4">MIN(E15:E64)</f>
        <v>0.93858600000000003</v>
      </c>
      <c r="F67" s="18">
        <f t="shared" si="4"/>
        <v>0.94233129999999998</v>
      </c>
      <c r="G67" s="18">
        <f t="shared" si="4"/>
        <v>0.73741129999999999</v>
      </c>
      <c r="H67" s="18">
        <f t="shared" si="4"/>
        <v>0.99903909999999996</v>
      </c>
      <c r="I67" s="18">
        <f t="shared" si="4"/>
        <v>1.2524390000000001</v>
      </c>
      <c r="J67" s="18">
        <f t="shared" si="4"/>
        <v>1.135786</v>
      </c>
      <c r="K67" s="18">
        <f t="shared" si="4"/>
        <v>1.4991650000000001</v>
      </c>
      <c r="L67" s="18">
        <f t="shared" si="4"/>
        <v>1.805258</v>
      </c>
      <c r="M67" s="18">
        <f t="shared" si="4"/>
        <v>1.66042</v>
      </c>
      <c r="N67" s="18">
        <f t="shared" si="4"/>
        <v>1.231627</v>
      </c>
      <c r="O67" s="18">
        <f t="shared" si="4"/>
        <v>1.3691139999999999</v>
      </c>
    </row>
    <row r="68" spans="2:15" x14ac:dyDescent="0.2">
      <c r="C68" s="8" t="s">
        <v>24</v>
      </c>
      <c r="D68" s="18">
        <f>D69-D67</f>
        <v>2.5649870000000004</v>
      </c>
      <c r="E68" s="18">
        <f t="shared" ref="E68:O68" si="5">E69-E67</f>
        <v>2.7627070000000002</v>
      </c>
      <c r="F68" s="18">
        <f t="shared" si="5"/>
        <v>1.9689317</v>
      </c>
      <c r="G68" s="18">
        <f t="shared" si="5"/>
        <v>1.9338656999999999</v>
      </c>
      <c r="H68" s="18">
        <f t="shared" si="5"/>
        <v>1.8154778999999999</v>
      </c>
      <c r="I68" s="18">
        <f t="shared" si="5"/>
        <v>2.186814</v>
      </c>
      <c r="J68" s="18">
        <f t="shared" si="5"/>
        <v>2.5986009999999999</v>
      </c>
      <c r="K68" s="18">
        <f t="shared" si="5"/>
        <v>2.3579680000000001</v>
      </c>
      <c r="L68" s="18">
        <f t="shared" si="5"/>
        <v>2.0646440000000004</v>
      </c>
      <c r="M68" s="18">
        <f t="shared" si="5"/>
        <v>2.3135430000000001</v>
      </c>
      <c r="N68" s="18">
        <f t="shared" si="5"/>
        <v>2.262832</v>
      </c>
      <c r="O68" s="18">
        <f t="shared" si="5"/>
        <v>2.1497020000000004</v>
      </c>
    </row>
    <row r="69" spans="2:15" x14ac:dyDescent="0.2">
      <c r="C69" s="9" t="s">
        <v>18</v>
      </c>
      <c r="D69" s="20">
        <f>MAX(D15:D64)</f>
        <v>3.6120510000000001</v>
      </c>
      <c r="E69" s="20">
        <f t="shared" ref="E69:O69" si="6">MAX(E15:E64)</f>
        <v>3.7012930000000002</v>
      </c>
      <c r="F69" s="20">
        <f t="shared" si="6"/>
        <v>2.9112629999999999</v>
      </c>
      <c r="G69" s="20">
        <f t="shared" si="6"/>
        <v>2.6712769999999999</v>
      </c>
      <c r="H69" s="20">
        <f t="shared" si="6"/>
        <v>2.8145169999999999</v>
      </c>
      <c r="I69" s="20">
        <f t="shared" si="6"/>
        <v>3.4392529999999999</v>
      </c>
      <c r="J69" s="20">
        <f t="shared" si="6"/>
        <v>3.7343869999999999</v>
      </c>
      <c r="K69" s="20">
        <f t="shared" si="6"/>
        <v>3.8571330000000001</v>
      </c>
      <c r="L69" s="20">
        <f t="shared" si="6"/>
        <v>3.8699020000000002</v>
      </c>
      <c r="M69" s="20">
        <f t="shared" si="6"/>
        <v>3.9739629999999999</v>
      </c>
      <c r="N69" s="20">
        <f t="shared" si="6"/>
        <v>3.494459</v>
      </c>
      <c r="O69" s="20">
        <f t="shared" si="6"/>
        <v>3.5188160000000002</v>
      </c>
    </row>
    <row r="70" spans="2:15" x14ac:dyDescent="0.2">
      <c r="D70" s="6"/>
      <c r="E70" s="6"/>
    </row>
    <row r="71" spans="2:15" x14ac:dyDescent="0.2">
      <c r="B71" s="24" t="s">
        <v>26</v>
      </c>
    </row>
    <row r="86" spans="2:3" x14ac:dyDescent="0.2">
      <c r="C86" s="4" t="s">
        <v>25</v>
      </c>
    </row>
    <row r="91" spans="2:3" x14ac:dyDescent="0.2">
      <c r="B91" s="4"/>
    </row>
    <row r="92" spans="2:3" x14ac:dyDescent="0.2">
      <c r="B92" s="4"/>
    </row>
    <row r="93" spans="2:3" x14ac:dyDescent="0.2">
      <c r="B93" s="4"/>
    </row>
    <row r="94" spans="2:3" x14ac:dyDescent="0.2">
      <c r="B94" s="4"/>
    </row>
    <row r="96" spans="2:3" x14ac:dyDescent="0.2">
      <c r="B96" s="4"/>
    </row>
  </sheetData>
  <dataValidations count="1">
    <dataValidation type="list" allowBlank="1" showInputMessage="1" showErrorMessage="1" sqref="C8" xr:uid="{1493CED0-FC89-4852-A9CE-A22849214309}">
      <formula1>#REF!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63A1A-0F4F-4617-906C-80B3FEA7A3C6}">
  <sheetPr>
    <tabColor theme="9"/>
  </sheetPr>
  <dimension ref="A2:P84"/>
  <sheetViews>
    <sheetView zoomScale="115" zoomScaleNormal="115" workbookViewId="0">
      <pane xSplit="4" ySplit="9" topLeftCell="E61" activePane="bottomRight" state="frozen"/>
      <selection pane="topRight" activeCell="E1" sqref="E1"/>
      <selection pane="bottomLeft" activeCell="A10" sqref="A10"/>
      <selection pane="bottomRight" activeCell="G67" sqref="G67"/>
    </sheetView>
  </sheetViews>
  <sheetFormatPr defaultColWidth="8.6640625" defaultRowHeight="11.25" x14ac:dyDescent="0.2"/>
  <sheetData>
    <row r="2" spans="1:16" x14ac:dyDescent="0.2">
      <c r="C2" s="1"/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4</v>
      </c>
    </row>
    <row r="3" spans="1:16" x14ac:dyDescent="0.2">
      <c r="C3" t="s">
        <v>2</v>
      </c>
      <c r="D3">
        <v>31</v>
      </c>
      <c r="E3">
        <v>28</v>
      </c>
      <c r="F3">
        <v>31</v>
      </c>
      <c r="G3">
        <v>30</v>
      </c>
      <c r="H3">
        <v>31</v>
      </c>
      <c r="I3">
        <v>30</v>
      </c>
      <c r="J3">
        <v>31</v>
      </c>
      <c r="K3">
        <v>31</v>
      </c>
      <c r="L3">
        <v>30</v>
      </c>
      <c r="M3">
        <v>31</v>
      </c>
      <c r="N3">
        <v>30</v>
      </c>
      <c r="O3">
        <v>31</v>
      </c>
      <c r="P3">
        <f>SUM(D3:O3)</f>
        <v>365</v>
      </c>
    </row>
    <row r="4" spans="1:16" x14ac:dyDescent="0.2">
      <c r="C4" t="s">
        <v>3</v>
      </c>
      <c r="D4">
        <f>D3*24</f>
        <v>744</v>
      </c>
      <c r="E4">
        <f t="shared" ref="E4:O4" si="0">E3*24</f>
        <v>672</v>
      </c>
      <c r="F4">
        <f t="shared" si="0"/>
        <v>744</v>
      </c>
      <c r="G4">
        <f t="shared" si="0"/>
        <v>720</v>
      </c>
      <c r="H4">
        <f t="shared" si="0"/>
        <v>744</v>
      </c>
      <c r="I4">
        <f t="shared" si="0"/>
        <v>720</v>
      </c>
      <c r="J4">
        <f t="shared" si="0"/>
        <v>744</v>
      </c>
      <c r="K4">
        <f t="shared" si="0"/>
        <v>744</v>
      </c>
      <c r="L4">
        <f t="shared" si="0"/>
        <v>720</v>
      </c>
      <c r="M4">
        <f t="shared" si="0"/>
        <v>744</v>
      </c>
      <c r="N4">
        <f t="shared" si="0"/>
        <v>720</v>
      </c>
      <c r="O4">
        <f t="shared" si="0"/>
        <v>744</v>
      </c>
      <c r="P4">
        <f>SUM(D4:O4)</f>
        <v>8760</v>
      </c>
    </row>
    <row r="5" spans="1:16" x14ac:dyDescent="0.2">
      <c r="C5" t="s">
        <v>1</v>
      </c>
      <c r="D5">
        <f>1</f>
        <v>1</v>
      </c>
      <c r="E5">
        <f>D5+1</f>
        <v>2</v>
      </c>
      <c r="F5">
        <f t="shared" ref="F5:O5" si="1">E5+1</f>
        <v>3</v>
      </c>
      <c r="G5">
        <f t="shared" si="1"/>
        <v>4</v>
      </c>
      <c r="H5">
        <f t="shared" si="1"/>
        <v>5</v>
      </c>
      <c r="I5">
        <f t="shared" si="1"/>
        <v>6</v>
      </c>
      <c r="J5">
        <f t="shared" si="1"/>
        <v>7</v>
      </c>
      <c r="K5">
        <f t="shared" si="1"/>
        <v>8</v>
      </c>
      <c r="L5">
        <f t="shared" si="1"/>
        <v>9</v>
      </c>
      <c r="M5">
        <f t="shared" si="1"/>
        <v>10</v>
      </c>
      <c r="N5">
        <f t="shared" si="1"/>
        <v>11</v>
      </c>
      <c r="O5">
        <f t="shared" si="1"/>
        <v>12</v>
      </c>
    </row>
    <row r="7" spans="1:16" x14ac:dyDescent="0.2">
      <c r="A7" t="s">
        <v>19</v>
      </c>
    </row>
    <row r="8" spans="1:16" x14ac:dyDescent="0.2">
      <c r="A8" s="3">
        <v>1</v>
      </c>
      <c r="C8" s="13" t="s">
        <v>4</v>
      </c>
      <c r="D8" s="2" t="str">
        <f>D$2</f>
        <v>Jan</v>
      </c>
      <c r="E8" s="2" t="str">
        <f t="shared" ref="E8:P8" si="2">E$2</f>
        <v>Feb</v>
      </c>
      <c r="F8" s="2" t="str">
        <f t="shared" si="2"/>
        <v>Mar</v>
      </c>
      <c r="G8" s="2" t="str">
        <f t="shared" si="2"/>
        <v>Apr</v>
      </c>
      <c r="H8" s="2" t="str">
        <f t="shared" si="2"/>
        <v>May</v>
      </c>
      <c r="I8" s="2" t="str">
        <f t="shared" si="2"/>
        <v>Jun</v>
      </c>
      <c r="J8" s="2" t="str">
        <f t="shared" si="2"/>
        <v>Jul</v>
      </c>
      <c r="K8" s="2" t="str">
        <f t="shared" si="2"/>
        <v>Aug</v>
      </c>
      <c r="L8" s="2" t="str">
        <f t="shared" si="2"/>
        <v>Sep</v>
      </c>
      <c r="M8" s="2" t="str">
        <f t="shared" si="2"/>
        <v>Oct</v>
      </c>
      <c r="N8" s="2" t="str">
        <f t="shared" si="2"/>
        <v>Nov</v>
      </c>
      <c r="O8" s="2" t="str">
        <f t="shared" si="2"/>
        <v>Dec</v>
      </c>
      <c r="P8" t="str">
        <f t="shared" si="2"/>
        <v>Total</v>
      </c>
    </row>
    <row r="9" spans="1:16" x14ac:dyDescent="0.2">
      <c r="A9" s="14"/>
      <c r="C9" s="10">
        <v>1970</v>
      </c>
      <c r="D9" s="15">
        <v>-6.8678889999999999</v>
      </c>
      <c r="E9" s="15">
        <v>-9.1688539999999996</v>
      </c>
      <c r="F9" s="15">
        <v>-1.853302</v>
      </c>
      <c r="G9" s="15">
        <v>0.89920040000000001</v>
      </c>
      <c r="H9" s="15">
        <v>7.0593260000000004</v>
      </c>
      <c r="I9" s="15">
        <v>13.162319999999999</v>
      </c>
      <c r="J9" s="15">
        <v>14.06165</v>
      </c>
      <c r="K9" s="15">
        <v>13.863009999999999</v>
      </c>
      <c r="L9" s="15">
        <v>9.3822019999999995</v>
      </c>
      <c r="M9" s="15">
        <v>4.8871770000000003</v>
      </c>
      <c r="N9" s="15">
        <v>-0.83407589999999998</v>
      </c>
      <c r="O9" s="15">
        <v>-1.80307</v>
      </c>
    </row>
    <row r="10" spans="1:16" x14ac:dyDescent="0.2">
      <c r="A10" s="14"/>
      <c r="C10" s="10">
        <v>1971</v>
      </c>
      <c r="D10" s="15">
        <v>-2.8668520000000002</v>
      </c>
      <c r="E10" s="15">
        <v>-4.2097170000000004</v>
      </c>
      <c r="F10" s="15">
        <v>-4.183624</v>
      </c>
      <c r="G10" s="15">
        <v>1.4332579999999999</v>
      </c>
      <c r="H10" s="15">
        <v>7.2517699999999996</v>
      </c>
      <c r="I10" s="15">
        <v>11.00192</v>
      </c>
      <c r="J10" s="15">
        <v>13.70251</v>
      </c>
      <c r="K10" s="15">
        <v>13.57925</v>
      </c>
      <c r="L10" s="15">
        <v>8.9635309999999997</v>
      </c>
      <c r="M10" s="15">
        <v>4.6548160000000003</v>
      </c>
      <c r="N10" s="15">
        <v>-1.617157</v>
      </c>
      <c r="O10" s="15">
        <v>-0.9011536</v>
      </c>
    </row>
    <row r="11" spans="1:16" x14ac:dyDescent="0.2">
      <c r="A11" s="14"/>
      <c r="C11" s="10">
        <v>1972</v>
      </c>
      <c r="D11" s="15">
        <v>-5.68689</v>
      </c>
      <c r="E11" s="15">
        <v>-3.4866329999999999</v>
      </c>
      <c r="F11" s="15">
        <v>-1.195465</v>
      </c>
      <c r="G11" s="15">
        <v>2.3130190000000002</v>
      </c>
      <c r="H11" s="15">
        <v>7.2007450000000004</v>
      </c>
      <c r="I11" s="15">
        <v>13.08527</v>
      </c>
      <c r="J11" s="15">
        <v>16.48227</v>
      </c>
      <c r="K11" s="15">
        <v>14.14941</v>
      </c>
      <c r="L11" s="15">
        <v>9.1414489999999997</v>
      </c>
      <c r="M11" s="15">
        <v>5.0265810000000002</v>
      </c>
      <c r="N11" s="15">
        <v>0.62979130000000005</v>
      </c>
      <c r="O11" s="15">
        <v>1.599396</v>
      </c>
    </row>
    <row r="12" spans="1:16" x14ac:dyDescent="0.2">
      <c r="A12" s="14"/>
      <c r="C12" s="10">
        <v>1973</v>
      </c>
      <c r="D12" s="15">
        <v>-1.291077</v>
      </c>
      <c r="E12" s="15">
        <v>-2.9717709999999999</v>
      </c>
      <c r="F12" s="15">
        <v>0.33587650000000002</v>
      </c>
      <c r="G12" s="15">
        <v>2.0787049999999998</v>
      </c>
      <c r="H12" s="15">
        <v>7.3085329999999997</v>
      </c>
      <c r="I12" s="15">
        <v>12.638210000000001</v>
      </c>
      <c r="J12" s="15">
        <v>16.140989999999999</v>
      </c>
      <c r="K12" s="15">
        <v>12.9765</v>
      </c>
      <c r="L12" s="15">
        <v>8.0010680000000001</v>
      </c>
      <c r="M12" s="15">
        <v>2.6942439999999999</v>
      </c>
      <c r="N12" s="15">
        <v>-1.6999820000000001</v>
      </c>
      <c r="O12" s="15">
        <v>-4.6586299999999996</v>
      </c>
    </row>
    <row r="13" spans="1:16" x14ac:dyDescent="0.2">
      <c r="A13" s="14"/>
      <c r="C13" s="10">
        <v>1974</v>
      </c>
      <c r="D13" s="15">
        <v>-1.876587</v>
      </c>
      <c r="E13" s="15">
        <v>-0.82678220000000002</v>
      </c>
      <c r="F13" s="15">
        <v>-0.12680050000000001</v>
      </c>
      <c r="G13" s="15">
        <v>2.977325</v>
      </c>
      <c r="H13" s="15">
        <v>6.6406859999999996</v>
      </c>
      <c r="I13" s="15">
        <v>12.12509</v>
      </c>
      <c r="J13" s="15">
        <v>13.79889</v>
      </c>
      <c r="K13" s="15">
        <v>13.481780000000001</v>
      </c>
      <c r="L13" s="15">
        <v>11.05054</v>
      </c>
      <c r="M13" s="15">
        <v>4.8129270000000002</v>
      </c>
      <c r="N13" s="15">
        <v>0.98870849999999999</v>
      </c>
      <c r="O13" s="15">
        <v>-8.7829589999999999E-2</v>
      </c>
    </row>
    <row r="14" spans="1:16" x14ac:dyDescent="0.2">
      <c r="A14" s="14"/>
      <c r="C14" s="10">
        <v>1975</v>
      </c>
      <c r="D14" s="15">
        <v>-1.438293</v>
      </c>
      <c r="E14" s="15">
        <v>-1.6289670000000001</v>
      </c>
      <c r="F14" s="15">
        <v>0.39505000000000001</v>
      </c>
      <c r="G14" s="15">
        <v>2.3527529999999999</v>
      </c>
      <c r="H14" s="15">
        <v>8.001709</v>
      </c>
      <c r="I14" s="15">
        <v>10.666600000000001</v>
      </c>
      <c r="J14" s="15">
        <v>14.13095</v>
      </c>
      <c r="K14" s="15">
        <v>14.07019</v>
      </c>
      <c r="L14" s="15">
        <v>10.89359</v>
      </c>
      <c r="M14" s="15">
        <v>5.4435729999999998</v>
      </c>
      <c r="N14" s="15">
        <v>1.461975</v>
      </c>
      <c r="O14" s="15">
        <v>-1.5343629999999999</v>
      </c>
    </row>
    <row r="15" spans="1:16" x14ac:dyDescent="0.2">
      <c r="A15" s="14"/>
      <c r="C15" s="10">
        <v>1976</v>
      </c>
      <c r="D15" s="15">
        <v>-6.8234250000000003</v>
      </c>
      <c r="E15" s="15">
        <v>-3.8936769999999998</v>
      </c>
      <c r="F15" s="15">
        <v>-3.287201</v>
      </c>
      <c r="G15" s="15">
        <v>1.726105</v>
      </c>
      <c r="H15" s="15">
        <v>7.9886470000000003</v>
      </c>
      <c r="I15" s="15">
        <v>10.68411</v>
      </c>
      <c r="J15" s="15">
        <v>13.95834</v>
      </c>
      <c r="K15" s="15">
        <v>13.607060000000001</v>
      </c>
      <c r="L15" s="15">
        <v>7.8283079999999998</v>
      </c>
      <c r="M15" s="15">
        <v>3.3547669999999998</v>
      </c>
      <c r="N15" s="15">
        <v>0.67834470000000002</v>
      </c>
      <c r="O15" s="15">
        <v>-3.6596980000000001</v>
      </c>
    </row>
    <row r="16" spans="1:16" x14ac:dyDescent="0.2">
      <c r="A16" s="14"/>
      <c r="C16" s="10">
        <v>1977</v>
      </c>
      <c r="D16" s="15">
        <v>-5.0976869999999996</v>
      </c>
      <c r="E16" s="15">
        <v>-6.0963440000000002</v>
      </c>
      <c r="F16" s="15">
        <v>-1.184204</v>
      </c>
      <c r="G16" s="15">
        <v>0.96752930000000004</v>
      </c>
      <c r="H16" s="15">
        <v>6.7327579999999996</v>
      </c>
      <c r="I16" s="15">
        <v>11.12384</v>
      </c>
      <c r="J16" s="15">
        <v>13.237579999999999</v>
      </c>
      <c r="K16" s="15">
        <v>12.887420000000001</v>
      </c>
      <c r="L16" s="15">
        <v>8.3094479999999997</v>
      </c>
      <c r="M16" s="15">
        <v>5.3479609999999997</v>
      </c>
      <c r="N16" s="15">
        <v>1.4897769999999999</v>
      </c>
      <c r="O16" s="15">
        <v>-2.216278</v>
      </c>
    </row>
    <row r="17" spans="1:15" x14ac:dyDescent="0.2">
      <c r="A17" s="14"/>
      <c r="C17" s="10">
        <v>1978</v>
      </c>
      <c r="D17" s="15">
        <v>-4.6049499999999997</v>
      </c>
      <c r="E17" s="15">
        <v>-7.7851869999999996</v>
      </c>
      <c r="F17" s="15">
        <v>-1.809631</v>
      </c>
      <c r="G17" s="15">
        <v>1.2338560000000001</v>
      </c>
      <c r="H17" s="15">
        <v>7.1992799999999999</v>
      </c>
      <c r="I17" s="15">
        <v>11.692539999999999</v>
      </c>
      <c r="J17" s="15">
        <v>13.33154</v>
      </c>
      <c r="K17" s="15">
        <v>12.70322</v>
      </c>
      <c r="L17" s="15">
        <v>8.2307430000000004</v>
      </c>
      <c r="M17" s="15">
        <v>4.4474489999999998</v>
      </c>
      <c r="N17" s="15">
        <v>1.832001</v>
      </c>
      <c r="O17" s="15">
        <v>-8.5000610000000005</v>
      </c>
    </row>
    <row r="18" spans="1:15" x14ac:dyDescent="0.2">
      <c r="A18" s="14"/>
      <c r="C18" s="10">
        <v>1979</v>
      </c>
      <c r="D18" s="15">
        <v>-7.919098</v>
      </c>
      <c r="E18" s="15">
        <v>-6.988251</v>
      </c>
      <c r="F18" s="15">
        <v>-1.645721</v>
      </c>
      <c r="G18" s="15">
        <v>1.3574520000000001</v>
      </c>
      <c r="H18" s="15">
        <v>7.2247620000000001</v>
      </c>
      <c r="I18" s="15">
        <v>12.288600000000001</v>
      </c>
      <c r="J18" s="15">
        <v>13.21429</v>
      </c>
      <c r="K18" s="15">
        <v>13.378690000000001</v>
      </c>
      <c r="L18" s="15">
        <v>9.2207340000000002</v>
      </c>
      <c r="M18" s="15">
        <v>3.7311709999999998</v>
      </c>
      <c r="N18" s="15">
        <v>0.70181269999999996</v>
      </c>
      <c r="O18" s="15">
        <v>-2.5737610000000002</v>
      </c>
    </row>
    <row r="19" spans="1:15" x14ac:dyDescent="0.2">
      <c r="A19" s="14"/>
      <c r="C19" s="10">
        <v>1980</v>
      </c>
      <c r="D19" s="15">
        <v>-6.4679570000000002</v>
      </c>
      <c r="E19" s="15">
        <v>-6.5643010000000004</v>
      </c>
      <c r="F19" s="15">
        <v>-3.8486020000000001</v>
      </c>
      <c r="G19" s="15">
        <v>3.0647890000000002</v>
      </c>
      <c r="H19" s="15">
        <v>6.4536740000000004</v>
      </c>
      <c r="I19" s="15">
        <v>13.2789</v>
      </c>
      <c r="J19" s="15">
        <v>14.485200000000001</v>
      </c>
      <c r="K19" s="15">
        <v>13.35242</v>
      </c>
      <c r="L19" s="15">
        <v>10.249689999999999</v>
      </c>
      <c r="M19" s="15">
        <v>4.0924990000000001</v>
      </c>
      <c r="N19" s="15">
        <v>-2.1110229999999999</v>
      </c>
      <c r="O19" s="15">
        <v>-3.3454899999999999</v>
      </c>
    </row>
    <row r="20" spans="1:15" x14ac:dyDescent="0.2">
      <c r="A20" s="14"/>
      <c r="C20" s="10">
        <v>1981</v>
      </c>
      <c r="D20" s="15">
        <v>-4.3832399999999998</v>
      </c>
      <c r="E20" s="15">
        <v>-4.70871</v>
      </c>
      <c r="F20" s="15">
        <v>-4.2800900000000004</v>
      </c>
      <c r="G20" s="15">
        <v>1.56012</v>
      </c>
      <c r="H20" s="15">
        <v>8.3059390000000004</v>
      </c>
      <c r="I20" s="15">
        <v>10.48865</v>
      </c>
      <c r="J20" s="15">
        <v>14.07437</v>
      </c>
      <c r="K20" s="15">
        <v>12.6694</v>
      </c>
      <c r="L20" s="15">
        <v>9.9162599999999994</v>
      </c>
      <c r="M20" s="15">
        <v>5.3006289999999998</v>
      </c>
      <c r="N20" s="15">
        <v>5.2093510000000003E-2</v>
      </c>
      <c r="O20" s="15">
        <v>-7.0657959999999997</v>
      </c>
    </row>
    <row r="21" spans="1:15" x14ac:dyDescent="0.2">
      <c r="A21" s="14"/>
      <c r="C21" s="10">
        <v>1982</v>
      </c>
      <c r="D21" s="15">
        <v>-7.788208</v>
      </c>
      <c r="E21" s="15">
        <v>-3.5169980000000001</v>
      </c>
      <c r="F21" s="15">
        <v>-8.2275390000000004E-2</v>
      </c>
      <c r="G21" s="15">
        <v>2.3916930000000001</v>
      </c>
      <c r="H21" s="15">
        <v>6.955139</v>
      </c>
      <c r="I21" s="15">
        <v>9.6394350000000006</v>
      </c>
      <c r="J21" s="15">
        <v>14.53436</v>
      </c>
      <c r="K21" s="15">
        <v>13.68951</v>
      </c>
      <c r="L21" s="15">
        <v>9.602112</v>
      </c>
      <c r="M21" s="15">
        <v>5.3869930000000004</v>
      </c>
      <c r="N21" s="15">
        <v>2.355194</v>
      </c>
      <c r="O21" s="15">
        <v>-0.96258540000000004</v>
      </c>
    </row>
    <row r="22" spans="1:15" x14ac:dyDescent="0.2">
      <c r="A22" s="14"/>
      <c r="C22" s="10">
        <v>1983</v>
      </c>
      <c r="D22" s="15">
        <v>-1.4274899999999999</v>
      </c>
      <c r="E22" s="15">
        <v>-4.7291559999999997</v>
      </c>
      <c r="F22" s="15">
        <v>-1.2159120000000001</v>
      </c>
      <c r="G22" s="15">
        <v>3.6340330000000001</v>
      </c>
      <c r="H22" s="15">
        <v>8.4967039999999994</v>
      </c>
      <c r="I22" s="15">
        <v>11.18018</v>
      </c>
      <c r="J22" s="15">
        <v>14.517760000000001</v>
      </c>
      <c r="K22" s="15">
        <v>13.13828</v>
      </c>
      <c r="L22" s="15">
        <v>10.30045</v>
      </c>
      <c r="M22" s="15">
        <v>5.2978209999999999</v>
      </c>
      <c r="N22" s="15">
        <v>-1.0722659999999999</v>
      </c>
      <c r="O22" s="15">
        <v>-2.857513</v>
      </c>
    </row>
    <row r="23" spans="1:15" x14ac:dyDescent="0.2">
      <c r="A23" s="14"/>
      <c r="C23" s="10">
        <v>1984</v>
      </c>
      <c r="D23" s="15">
        <v>-4.7460019999999998</v>
      </c>
      <c r="E23" s="15">
        <v>-2.7760009999999999</v>
      </c>
      <c r="F23" s="15">
        <v>-2.9743650000000001</v>
      </c>
      <c r="G23" s="15">
        <v>3.6264340000000002</v>
      </c>
      <c r="H23" s="15">
        <v>9.3519290000000002</v>
      </c>
      <c r="I23" s="15">
        <v>11.48685</v>
      </c>
      <c r="J23" s="15">
        <v>13.26965</v>
      </c>
      <c r="K23" s="15">
        <v>13.369289999999999</v>
      </c>
      <c r="L23" s="15">
        <v>9.118805</v>
      </c>
      <c r="M23" s="15">
        <v>6.3070069999999996</v>
      </c>
      <c r="N23" s="15">
        <v>0.9210815</v>
      </c>
      <c r="O23" s="15">
        <v>-0.97415160000000001</v>
      </c>
    </row>
    <row r="24" spans="1:15" x14ac:dyDescent="0.2">
      <c r="A24" s="14"/>
      <c r="C24" s="10">
        <v>1985</v>
      </c>
      <c r="D24" s="15">
        <v>-9.8069459999999999</v>
      </c>
      <c r="E24" s="15">
        <v>-11.02835</v>
      </c>
      <c r="F24" s="15">
        <v>-1.7702329999999999</v>
      </c>
      <c r="G24" s="15">
        <v>0.71463010000000005</v>
      </c>
      <c r="H24" s="15">
        <v>6.8961180000000004</v>
      </c>
      <c r="I24" s="15">
        <v>11.060879999999999</v>
      </c>
      <c r="J24" s="15">
        <v>14.077819999999999</v>
      </c>
      <c r="K24" s="15">
        <v>13.939579999999999</v>
      </c>
      <c r="L24" s="15">
        <v>8.8546139999999998</v>
      </c>
      <c r="M24" s="15">
        <v>6.3587040000000004</v>
      </c>
      <c r="N24" s="15">
        <v>-1.2202759999999999</v>
      </c>
      <c r="O24" s="15">
        <v>-5.828125</v>
      </c>
    </row>
    <row r="25" spans="1:15" x14ac:dyDescent="0.2">
      <c r="A25" s="14"/>
      <c r="C25" s="10">
        <v>1986</v>
      </c>
      <c r="D25" s="15">
        <v>-7.0343020000000003</v>
      </c>
      <c r="E25" s="15">
        <v>-7.8742369999999999</v>
      </c>
      <c r="F25" s="15">
        <v>-6.8511959999999997E-2</v>
      </c>
      <c r="G25" s="15">
        <v>1.4160159999999999</v>
      </c>
      <c r="H25" s="15">
        <v>8.2480159999999998</v>
      </c>
      <c r="I25" s="15">
        <v>13.094329999999999</v>
      </c>
      <c r="J25" s="15">
        <v>14.00497</v>
      </c>
      <c r="K25" s="15">
        <v>12.012180000000001</v>
      </c>
      <c r="L25" s="15">
        <v>7.1430360000000004</v>
      </c>
      <c r="M25" s="15">
        <v>5.5950930000000003</v>
      </c>
      <c r="N25" s="15">
        <v>2.8404539999999998</v>
      </c>
      <c r="O25" s="15">
        <v>-5.170166</v>
      </c>
    </row>
    <row r="26" spans="1:15" x14ac:dyDescent="0.2">
      <c r="A26" s="14"/>
      <c r="C26" s="10">
        <v>1987</v>
      </c>
      <c r="D26" s="15">
        <v>-11.321809999999999</v>
      </c>
      <c r="E26" s="15">
        <v>-5.6164249999999996</v>
      </c>
      <c r="F26" s="15">
        <v>-4.7477720000000003</v>
      </c>
      <c r="G26" s="15">
        <v>2.1260680000000001</v>
      </c>
      <c r="H26" s="15">
        <v>6.3714599999999999</v>
      </c>
      <c r="I26" s="15">
        <v>10.25262</v>
      </c>
      <c r="J26" s="15">
        <v>12.90976</v>
      </c>
      <c r="K26" s="15">
        <v>11.27313</v>
      </c>
      <c r="L26" s="15">
        <v>8.9203489999999999</v>
      </c>
      <c r="M26" s="15">
        <v>7.1094059999999999</v>
      </c>
      <c r="N26" s="15">
        <v>0.31756590000000001</v>
      </c>
      <c r="O26" s="15">
        <v>-3.2358699999999998</v>
      </c>
    </row>
    <row r="27" spans="1:15" x14ac:dyDescent="0.2">
      <c r="A27" s="14"/>
      <c r="C27" s="10">
        <v>1988</v>
      </c>
      <c r="D27" s="15">
        <v>-2.5803829999999999</v>
      </c>
      <c r="E27" s="15">
        <v>-3.3254389999999998</v>
      </c>
      <c r="F27" s="15">
        <v>-2.244415</v>
      </c>
      <c r="G27" s="15">
        <v>1.0036929999999999</v>
      </c>
      <c r="H27" s="15">
        <v>8.2776789999999991</v>
      </c>
      <c r="I27" s="15">
        <v>13.04745</v>
      </c>
      <c r="J27" s="15">
        <v>15.840579999999999</v>
      </c>
      <c r="K27" s="15">
        <v>13.303470000000001</v>
      </c>
      <c r="L27" s="15">
        <v>10.668699999999999</v>
      </c>
      <c r="M27" s="15">
        <v>4.799347</v>
      </c>
      <c r="N27" s="15">
        <v>-1.6419980000000001</v>
      </c>
      <c r="O27" s="15">
        <v>-3.5578609999999999</v>
      </c>
    </row>
    <row r="28" spans="1:15" x14ac:dyDescent="0.2">
      <c r="A28" s="14"/>
      <c r="C28" s="10">
        <v>1989</v>
      </c>
      <c r="D28" s="15">
        <v>0.26358029999999999</v>
      </c>
      <c r="E28" s="15">
        <v>2.7954099999999999E-2</v>
      </c>
      <c r="F28" s="15">
        <v>1.457184</v>
      </c>
      <c r="G28" s="15">
        <v>4.0647890000000002</v>
      </c>
      <c r="H28" s="15">
        <v>8.2737429999999996</v>
      </c>
      <c r="I28" s="15">
        <v>12.62973</v>
      </c>
      <c r="J28" s="15">
        <v>14.15714</v>
      </c>
      <c r="K28" s="15">
        <v>13.312290000000001</v>
      </c>
      <c r="L28" s="15">
        <v>10.398680000000001</v>
      </c>
      <c r="M28" s="15">
        <v>5.3047180000000003</v>
      </c>
      <c r="N28" s="15">
        <v>1.5948789999999999</v>
      </c>
      <c r="O28" s="15">
        <v>-3.1439819999999998</v>
      </c>
    </row>
    <row r="29" spans="1:15" x14ac:dyDescent="0.2">
      <c r="A29" s="14"/>
      <c r="C29" s="10">
        <v>1990</v>
      </c>
      <c r="D29" s="15">
        <v>-2.6659549999999999</v>
      </c>
      <c r="E29" s="15">
        <v>1.9025879999999999</v>
      </c>
      <c r="F29" s="15">
        <v>1.241638</v>
      </c>
      <c r="G29" s="15">
        <v>4.237762</v>
      </c>
      <c r="H29" s="15">
        <v>7.7647709999999996</v>
      </c>
      <c r="I29" s="15">
        <v>12.099819999999999</v>
      </c>
      <c r="J29" s="15">
        <v>13.924620000000001</v>
      </c>
      <c r="K29" s="15">
        <v>14.112920000000001</v>
      </c>
      <c r="L29" s="15">
        <v>9.0921939999999992</v>
      </c>
      <c r="M29" s="15">
        <v>5.770905</v>
      </c>
      <c r="N29" s="15">
        <v>3.6804200000000002E-2</v>
      </c>
      <c r="O29" s="15">
        <v>-0.29806519999999997</v>
      </c>
    </row>
    <row r="30" spans="1:15" x14ac:dyDescent="0.2">
      <c r="A30" s="14"/>
      <c r="C30" s="10">
        <v>1991</v>
      </c>
      <c r="D30" s="15">
        <v>-2.1052249999999999</v>
      </c>
      <c r="E30" s="15">
        <v>-4.981903</v>
      </c>
      <c r="F30" s="15">
        <v>-0.48815920000000002</v>
      </c>
      <c r="G30" s="15">
        <v>3.17746</v>
      </c>
      <c r="H30" s="15">
        <v>6.1678769999999998</v>
      </c>
      <c r="I30" s="15">
        <v>10.54813</v>
      </c>
      <c r="J30" s="15">
        <v>14.79739</v>
      </c>
      <c r="K30" s="15">
        <v>14.550509999999999</v>
      </c>
      <c r="L30" s="15">
        <v>9.1837459999999993</v>
      </c>
      <c r="M30" s="15">
        <v>5.6268919999999998</v>
      </c>
      <c r="N30" s="15">
        <v>2.0491030000000001</v>
      </c>
      <c r="O30" s="15">
        <v>-0.35592649999999998</v>
      </c>
    </row>
    <row r="31" spans="1:15" x14ac:dyDescent="0.2">
      <c r="A31" s="14"/>
      <c r="C31" s="10">
        <v>1992</v>
      </c>
      <c r="D31" s="15">
        <v>-0.78475950000000005</v>
      </c>
      <c r="E31" s="15">
        <v>-0.8612976</v>
      </c>
      <c r="F31" s="15">
        <v>1.0027470000000001</v>
      </c>
      <c r="G31" s="15">
        <v>1.3415220000000001</v>
      </c>
      <c r="H31" s="15">
        <v>8.7732849999999996</v>
      </c>
      <c r="I31" s="15">
        <v>13.55414</v>
      </c>
      <c r="J31" s="15">
        <v>13.760529999999999</v>
      </c>
      <c r="K31" s="15">
        <v>13.03058</v>
      </c>
      <c r="L31" s="15">
        <v>10.649050000000001</v>
      </c>
      <c r="M31" s="15">
        <v>1.170105</v>
      </c>
      <c r="N31" s="15">
        <v>-0.60351560000000004</v>
      </c>
      <c r="O31" s="15">
        <v>0.15826419999999999</v>
      </c>
    </row>
    <row r="32" spans="1:15" x14ac:dyDescent="0.2">
      <c r="A32" s="14"/>
      <c r="C32" s="10">
        <v>1993</v>
      </c>
      <c r="D32" s="15">
        <v>-1.6440729999999999</v>
      </c>
      <c r="E32" s="15">
        <v>-1.871796</v>
      </c>
      <c r="F32" s="15">
        <v>-0.55633540000000004</v>
      </c>
      <c r="G32" s="15">
        <v>2.8901669999999999</v>
      </c>
      <c r="H32" s="15">
        <v>8.9731749999999995</v>
      </c>
      <c r="I32" s="15">
        <v>9.8536380000000001</v>
      </c>
      <c r="J32" s="15">
        <v>13.702059999999999</v>
      </c>
      <c r="K32" s="15">
        <v>12.38086</v>
      </c>
      <c r="L32" s="15">
        <v>7.3640140000000001</v>
      </c>
      <c r="M32" s="15">
        <v>3.5276489999999998</v>
      </c>
      <c r="N32" s="15">
        <v>-1.1262209999999999</v>
      </c>
      <c r="O32" s="15">
        <v>-2.7037049999999998</v>
      </c>
    </row>
    <row r="33" spans="1:15" x14ac:dyDescent="0.2">
      <c r="A33" s="14"/>
      <c r="C33" s="10">
        <v>1994</v>
      </c>
      <c r="D33" s="15">
        <v>-4.4627080000000001</v>
      </c>
      <c r="E33" s="15">
        <v>-7.6893010000000004</v>
      </c>
      <c r="F33" s="15">
        <v>-1.422607</v>
      </c>
      <c r="G33" s="15">
        <v>4.0068659999999996</v>
      </c>
      <c r="H33" s="15">
        <v>6.553528</v>
      </c>
      <c r="I33" s="15">
        <v>10.554349999999999</v>
      </c>
      <c r="J33" s="15">
        <v>15.98395</v>
      </c>
      <c r="K33" s="15">
        <v>14.135160000000001</v>
      </c>
      <c r="L33" s="15">
        <v>9.7317199999999993</v>
      </c>
      <c r="M33" s="15">
        <v>4.2488400000000004</v>
      </c>
      <c r="N33" s="15">
        <v>0.69128420000000002</v>
      </c>
      <c r="O33" s="15">
        <v>-0.11071780000000001</v>
      </c>
    </row>
    <row r="34" spans="1:15" x14ac:dyDescent="0.2">
      <c r="A34" s="14"/>
      <c r="C34" s="10">
        <v>1995</v>
      </c>
      <c r="D34" s="15">
        <v>-2.692383</v>
      </c>
      <c r="E34" s="15">
        <v>-0.96151730000000002</v>
      </c>
      <c r="F34" s="15">
        <v>0.31817630000000002</v>
      </c>
      <c r="G34" s="15">
        <v>2.3007810000000002</v>
      </c>
      <c r="H34" s="15">
        <v>6.7348020000000002</v>
      </c>
      <c r="I34" s="15">
        <v>12.52866</v>
      </c>
      <c r="J34" s="15">
        <v>13.594060000000001</v>
      </c>
      <c r="K34" s="15">
        <v>13.7616</v>
      </c>
      <c r="L34" s="15">
        <v>9.8082580000000004</v>
      </c>
      <c r="M34" s="15">
        <v>6.6360169999999998</v>
      </c>
      <c r="N34" s="15">
        <v>-1.1210629999999999</v>
      </c>
      <c r="O34" s="15">
        <v>-5.5333560000000004</v>
      </c>
    </row>
    <row r="35" spans="1:15" x14ac:dyDescent="0.2">
      <c r="A35" s="14"/>
      <c r="C35" s="10">
        <v>1996</v>
      </c>
      <c r="D35" s="15">
        <v>-3.775665</v>
      </c>
      <c r="E35" s="15">
        <v>-7.1699520000000003</v>
      </c>
      <c r="F35" s="15">
        <v>-2.1729129999999999</v>
      </c>
      <c r="G35" s="15">
        <v>2.4028930000000002</v>
      </c>
      <c r="H35" s="15">
        <v>6.0633540000000004</v>
      </c>
      <c r="I35" s="15">
        <v>10.99353</v>
      </c>
      <c r="J35" s="15">
        <v>12.893129999999999</v>
      </c>
      <c r="K35" s="15">
        <v>15.450290000000001</v>
      </c>
      <c r="L35" s="15">
        <v>8.8539429999999992</v>
      </c>
      <c r="M35" s="15">
        <v>6.2748410000000003</v>
      </c>
      <c r="N35" s="15">
        <v>0.78424070000000001</v>
      </c>
      <c r="O35" s="15">
        <v>-4.25</v>
      </c>
    </row>
    <row r="36" spans="1:15" x14ac:dyDescent="0.2">
      <c r="A36" s="14"/>
      <c r="C36" s="10">
        <v>1997</v>
      </c>
      <c r="D36" s="15">
        <v>-3.5674130000000002</v>
      </c>
      <c r="E36" s="15">
        <v>-2.5507810000000002</v>
      </c>
      <c r="F36" s="15">
        <v>-0.53909300000000004</v>
      </c>
      <c r="G36" s="15">
        <v>0.89456179999999996</v>
      </c>
      <c r="H36" s="15">
        <v>6.1398929999999998</v>
      </c>
      <c r="I36" s="15">
        <v>12.487299999999999</v>
      </c>
      <c r="J36" s="15">
        <v>15.75897</v>
      </c>
      <c r="K36" s="15">
        <v>16.19528</v>
      </c>
      <c r="L36" s="15">
        <v>10.421200000000001</v>
      </c>
      <c r="M36" s="15">
        <v>3.8307799999999999</v>
      </c>
      <c r="N36" s="15">
        <v>0.27999879999999999</v>
      </c>
      <c r="O36" s="15">
        <v>-2.0992130000000002</v>
      </c>
    </row>
    <row r="37" spans="1:15" x14ac:dyDescent="0.2">
      <c r="A37" s="14"/>
      <c r="C37" s="10">
        <v>1998</v>
      </c>
      <c r="D37" s="15">
        <v>-2.025055</v>
      </c>
      <c r="E37" s="15">
        <v>-3.3355100000000002</v>
      </c>
      <c r="F37" s="15">
        <v>-2.2319640000000001</v>
      </c>
      <c r="G37" s="15">
        <v>1.991852</v>
      </c>
      <c r="H37" s="15">
        <v>7.3923949999999996</v>
      </c>
      <c r="I37" s="15">
        <v>11.341519999999999</v>
      </c>
      <c r="J37" s="15">
        <v>14.04382</v>
      </c>
      <c r="K37" s="15">
        <v>12.56915</v>
      </c>
      <c r="L37" s="15">
        <v>10.34915</v>
      </c>
      <c r="M37" s="15">
        <v>5.2075810000000002</v>
      </c>
      <c r="N37" s="15">
        <v>-2.2217709999999999</v>
      </c>
      <c r="O37" s="15">
        <v>-2.270508</v>
      </c>
    </row>
    <row r="38" spans="1:15" x14ac:dyDescent="0.2">
      <c r="A38" s="14"/>
      <c r="C38" s="10">
        <v>1999</v>
      </c>
      <c r="D38" s="15">
        <v>-4.4458010000000003</v>
      </c>
      <c r="E38" s="15">
        <v>-4.4616699999999998</v>
      </c>
      <c r="F38" s="15">
        <v>-0.61737059999999999</v>
      </c>
      <c r="G38" s="15">
        <v>4.1400759999999996</v>
      </c>
      <c r="H38" s="15">
        <v>6.3541869999999996</v>
      </c>
      <c r="I38" s="15">
        <v>13.338100000000001</v>
      </c>
      <c r="J38" s="15">
        <v>15.064819999999999</v>
      </c>
      <c r="K38" s="15">
        <v>13.002079999999999</v>
      </c>
      <c r="L38" s="15">
        <v>11.98761</v>
      </c>
      <c r="M38" s="15">
        <v>6.1928409999999996</v>
      </c>
      <c r="N38" s="15">
        <v>2.6832889999999998</v>
      </c>
      <c r="O38" s="15">
        <v>-2.9942630000000001</v>
      </c>
    </row>
    <row r="39" spans="1:15" x14ac:dyDescent="0.2">
      <c r="A39" s="14"/>
      <c r="C39" s="10">
        <v>2000</v>
      </c>
      <c r="D39" s="15">
        <v>-2.1166079999999998</v>
      </c>
      <c r="E39" s="15">
        <v>-1.7115480000000001</v>
      </c>
      <c r="F39" s="15">
        <v>-0.70303340000000003</v>
      </c>
      <c r="G39" s="15">
        <v>3.885284</v>
      </c>
      <c r="H39" s="15">
        <v>8.4327089999999991</v>
      </c>
      <c r="I39" s="15">
        <v>11.194269999999999</v>
      </c>
      <c r="J39" s="15">
        <v>13.80139</v>
      </c>
      <c r="K39" s="15">
        <v>13.18665</v>
      </c>
      <c r="L39" s="15">
        <v>9.8599549999999994</v>
      </c>
      <c r="M39" s="15">
        <v>8.1352539999999998</v>
      </c>
      <c r="N39" s="15">
        <v>3.8125</v>
      </c>
      <c r="O39" s="15">
        <v>-0.57156370000000001</v>
      </c>
    </row>
    <row r="40" spans="1:15" x14ac:dyDescent="0.2">
      <c r="A40" s="14"/>
      <c r="C40" s="10">
        <v>2001</v>
      </c>
      <c r="D40" s="15">
        <v>-1.3953249999999999</v>
      </c>
      <c r="E40" s="15">
        <v>-5.6482849999999996</v>
      </c>
      <c r="F40" s="15">
        <v>-3.4919129999999998</v>
      </c>
      <c r="G40" s="15">
        <v>3.077118</v>
      </c>
      <c r="H40" s="15">
        <v>7.2086490000000003</v>
      </c>
      <c r="I40" s="15">
        <v>11.76416</v>
      </c>
      <c r="J40" s="15">
        <v>15.610720000000001</v>
      </c>
      <c r="K40" s="15">
        <v>13.86389</v>
      </c>
      <c r="L40" s="15">
        <v>10.63702</v>
      </c>
      <c r="M40" s="15">
        <v>6.8581539999999999</v>
      </c>
      <c r="N40" s="15">
        <v>0.61224369999999995</v>
      </c>
      <c r="O40" s="15">
        <v>-4.2373050000000001</v>
      </c>
    </row>
    <row r="41" spans="1:15" x14ac:dyDescent="0.2">
      <c r="A41" s="14"/>
      <c r="C41" s="10">
        <v>2002</v>
      </c>
      <c r="D41" s="15">
        <v>-2.8633120000000001</v>
      </c>
      <c r="E41" s="15">
        <v>-1.0722959999999999</v>
      </c>
      <c r="F41" s="15">
        <v>-0.1863708</v>
      </c>
      <c r="G41" s="15">
        <v>4.4569700000000001</v>
      </c>
      <c r="H41" s="15">
        <v>9.4117739999999994</v>
      </c>
      <c r="I41" s="15">
        <v>13.546810000000001</v>
      </c>
      <c r="J41" s="15">
        <v>15.859859999999999</v>
      </c>
      <c r="K41" s="15">
        <v>16.49005</v>
      </c>
      <c r="L41" s="15">
        <v>10.318300000000001</v>
      </c>
      <c r="M41" s="15">
        <v>2.5744319999999998</v>
      </c>
      <c r="N41" s="15">
        <v>-1.529541</v>
      </c>
      <c r="O41" s="15">
        <v>-5.520416</v>
      </c>
    </row>
    <row r="42" spans="1:15" x14ac:dyDescent="0.2">
      <c r="A42" s="14"/>
      <c r="C42" s="10">
        <v>2003</v>
      </c>
      <c r="D42" s="15">
        <v>-6.4592590000000003</v>
      </c>
      <c r="E42" s="15">
        <v>-2.986145</v>
      </c>
      <c r="F42" s="15">
        <v>0.2860413</v>
      </c>
      <c r="G42" s="15">
        <v>2.5112000000000001</v>
      </c>
      <c r="H42" s="15">
        <v>8.0234679999999994</v>
      </c>
      <c r="I42" s="15">
        <v>11.61975</v>
      </c>
      <c r="J42" s="15">
        <v>16.979980000000001</v>
      </c>
      <c r="K42" s="15">
        <v>14.3757</v>
      </c>
      <c r="L42" s="15">
        <v>10.49582</v>
      </c>
      <c r="M42" s="15">
        <v>3.9811709999999998</v>
      </c>
      <c r="N42" s="15">
        <v>2.356598</v>
      </c>
      <c r="O42" s="15">
        <v>-1.0223390000000001</v>
      </c>
    </row>
    <row r="43" spans="1:15" x14ac:dyDescent="0.2">
      <c r="A43" s="14"/>
      <c r="C43" s="10">
        <v>2004</v>
      </c>
      <c r="D43" s="15">
        <v>-4.8106989999999996</v>
      </c>
      <c r="E43" s="15">
        <v>-3.2773129999999999</v>
      </c>
      <c r="F43" s="15">
        <v>-8.5815429999999998E-2</v>
      </c>
      <c r="G43" s="15">
        <v>4.1779169999999999</v>
      </c>
      <c r="H43" s="15">
        <v>7.7508239999999997</v>
      </c>
      <c r="I43" s="15">
        <v>10.991149999999999</v>
      </c>
      <c r="J43" s="15">
        <v>14.42737</v>
      </c>
      <c r="K43" s="15">
        <v>14.77365</v>
      </c>
      <c r="L43" s="15">
        <v>10.781650000000001</v>
      </c>
      <c r="M43" s="15">
        <v>5.6946110000000001</v>
      </c>
      <c r="N43" s="15">
        <v>0.38388060000000002</v>
      </c>
      <c r="O43" s="15">
        <v>7.6782230000000007E-2</v>
      </c>
    </row>
    <row r="44" spans="1:15" x14ac:dyDescent="0.2">
      <c r="A44" s="14"/>
      <c r="C44" s="10">
        <v>2005</v>
      </c>
      <c r="D44" s="15">
        <v>-0.62435909999999994</v>
      </c>
      <c r="E44" s="15">
        <v>-3.5337830000000001</v>
      </c>
      <c r="F44" s="15">
        <v>-3.188599</v>
      </c>
      <c r="G44" s="15">
        <v>3.768494</v>
      </c>
      <c r="H44" s="15">
        <v>7.0893249999999997</v>
      </c>
      <c r="I44" s="15">
        <v>11.6814</v>
      </c>
      <c r="J44" s="15">
        <v>15.67905</v>
      </c>
      <c r="K44" s="15">
        <v>13.95688</v>
      </c>
      <c r="L44" s="15">
        <v>10.80026</v>
      </c>
      <c r="M44" s="15">
        <v>6.8916019999999998</v>
      </c>
      <c r="N44" s="15">
        <v>3.173645</v>
      </c>
      <c r="O44" s="15">
        <v>-1.9852289999999999</v>
      </c>
    </row>
    <row r="45" spans="1:15" x14ac:dyDescent="0.2">
      <c r="A45" s="14"/>
      <c r="C45" s="10">
        <v>2006</v>
      </c>
      <c r="D45" s="15">
        <v>-3.0556950000000001</v>
      </c>
      <c r="E45" s="15">
        <v>-4.8625790000000002</v>
      </c>
      <c r="F45" s="15">
        <v>-4.6873469999999999</v>
      </c>
      <c r="G45" s="15">
        <v>3.2820740000000002</v>
      </c>
      <c r="H45" s="15">
        <v>8.1585389999999993</v>
      </c>
      <c r="I45" s="15">
        <v>12.710599999999999</v>
      </c>
      <c r="J45" s="15">
        <v>15.8002</v>
      </c>
      <c r="K45" s="15">
        <v>15.627929999999999</v>
      </c>
      <c r="L45" s="15">
        <v>12.05414</v>
      </c>
      <c r="M45" s="15">
        <v>6.4513550000000004</v>
      </c>
      <c r="N45" s="15">
        <v>2.4915769999999999</v>
      </c>
      <c r="O45" s="15">
        <v>2.5905459999999998</v>
      </c>
    </row>
    <row r="46" spans="1:15" x14ac:dyDescent="0.2">
      <c r="A46" s="14"/>
      <c r="C46" s="10">
        <v>2007</v>
      </c>
      <c r="D46" s="15">
        <v>-1.9972840000000001</v>
      </c>
      <c r="E46" s="15">
        <v>-6.3500670000000001</v>
      </c>
      <c r="F46" s="15">
        <v>2.2782900000000001</v>
      </c>
      <c r="G46" s="15">
        <v>3.9019469999999998</v>
      </c>
      <c r="H46" s="15">
        <v>8.0596309999999995</v>
      </c>
      <c r="I46" s="15">
        <v>12.8172</v>
      </c>
      <c r="J46" s="15">
        <v>14.385439999999999</v>
      </c>
      <c r="K46" s="15">
        <v>14.44632</v>
      </c>
      <c r="L46" s="15">
        <v>9.4797670000000007</v>
      </c>
      <c r="M46" s="15">
        <v>6.487946</v>
      </c>
      <c r="N46" s="15">
        <v>0.65930180000000005</v>
      </c>
      <c r="O46" s="15">
        <v>0.89245609999999997</v>
      </c>
    </row>
    <row r="47" spans="1:15" x14ac:dyDescent="0.2">
      <c r="A47" s="14"/>
      <c r="C47" s="10">
        <v>2008</v>
      </c>
      <c r="D47" s="15">
        <v>-0.67486570000000001</v>
      </c>
      <c r="E47" s="15">
        <v>-5.3619380000000001E-2</v>
      </c>
      <c r="F47" s="15">
        <v>-0.95413210000000004</v>
      </c>
      <c r="G47" s="15">
        <v>3.5966800000000001</v>
      </c>
      <c r="H47" s="15">
        <v>7.8224489999999998</v>
      </c>
      <c r="I47" s="15">
        <v>11.97559</v>
      </c>
      <c r="J47" s="15">
        <v>14.707240000000001</v>
      </c>
      <c r="K47" s="15">
        <v>13.294309999999999</v>
      </c>
      <c r="L47" s="15">
        <v>9.5878910000000008</v>
      </c>
      <c r="M47" s="15">
        <v>6.4657900000000001</v>
      </c>
      <c r="N47" s="15">
        <v>1.5573429999999999</v>
      </c>
      <c r="O47" s="15">
        <v>-0.15771479999999999</v>
      </c>
    </row>
    <row r="48" spans="1:15" x14ac:dyDescent="0.2">
      <c r="A48" s="14"/>
      <c r="C48" s="10">
        <v>2009</v>
      </c>
      <c r="D48" s="15">
        <v>-2.6882320000000002</v>
      </c>
      <c r="E48" s="15">
        <v>-4.5625309999999999</v>
      </c>
      <c r="F48" s="15">
        <v>-0.70968629999999999</v>
      </c>
      <c r="G48" s="15">
        <v>3.8928829999999999</v>
      </c>
      <c r="H48" s="15">
        <v>8.7872009999999996</v>
      </c>
      <c r="I48" s="15">
        <v>11.445309999999999</v>
      </c>
      <c r="J48" s="15">
        <v>14.58173</v>
      </c>
      <c r="K48" s="15">
        <v>14.467560000000001</v>
      </c>
      <c r="L48" s="15">
        <v>11.235900000000001</v>
      </c>
      <c r="M48" s="15">
        <v>3.8059690000000002</v>
      </c>
      <c r="N48" s="15">
        <v>3.0177309999999999</v>
      </c>
      <c r="O48" s="15">
        <v>-3.5284420000000001</v>
      </c>
    </row>
    <row r="49" spans="1:15" x14ac:dyDescent="0.2">
      <c r="A49" s="14"/>
      <c r="C49" s="10">
        <v>2010</v>
      </c>
      <c r="D49" s="15">
        <v>-7.7020869999999997</v>
      </c>
      <c r="E49" s="15">
        <v>-7.0466920000000002</v>
      </c>
      <c r="F49" s="15">
        <v>-2.2275700000000001</v>
      </c>
      <c r="G49" s="15">
        <v>3.4388730000000001</v>
      </c>
      <c r="H49" s="15">
        <v>8.123901</v>
      </c>
      <c r="I49" s="15">
        <v>11.26465</v>
      </c>
      <c r="J49" s="15">
        <v>16.493590000000001</v>
      </c>
      <c r="K49" s="15">
        <v>14.273099999999999</v>
      </c>
      <c r="L49" s="15">
        <v>10.132899999999999</v>
      </c>
      <c r="M49" s="15">
        <v>5.1302490000000001</v>
      </c>
      <c r="N49" s="15">
        <v>-1.5953980000000001</v>
      </c>
      <c r="O49" s="15">
        <v>-6.9319459999999999</v>
      </c>
    </row>
    <row r="50" spans="1:15" x14ac:dyDescent="0.2">
      <c r="A50" s="14"/>
      <c r="C50" s="10">
        <v>2011</v>
      </c>
      <c r="D50" s="15">
        <v>-3.8382869999999998</v>
      </c>
      <c r="E50" s="15">
        <v>-7.0670469999999996</v>
      </c>
      <c r="F50" s="15">
        <v>-1.138306</v>
      </c>
      <c r="G50" s="15">
        <v>4.9932249999999998</v>
      </c>
      <c r="H50" s="15">
        <v>8.1592710000000004</v>
      </c>
      <c r="I50" s="15">
        <v>13.32892</v>
      </c>
      <c r="J50" s="15">
        <v>15.72025</v>
      </c>
      <c r="K50" s="15">
        <v>14.143890000000001</v>
      </c>
      <c r="L50" s="15">
        <v>11.536530000000001</v>
      </c>
      <c r="M50" s="15">
        <v>6.8317870000000003</v>
      </c>
      <c r="N50" s="15">
        <v>4.0935360000000003</v>
      </c>
      <c r="O50" s="15">
        <v>1.0058590000000001</v>
      </c>
    </row>
    <row r="51" spans="1:15" x14ac:dyDescent="0.2">
      <c r="A51" s="14"/>
      <c r="C51" s="10">
        <v>2012</v>
      </c>
      <c r="D51" s="15">
        <v>-3.271271</v>
      </c>
      <c r="E51" s="15">
        <v>-5.3538509999999997</v>
      </c>
      <c r="F51" s="15">
        <v>0.95208740000000003</v>
      </c>
      <c r="G51" s="15">
        <v>2.3508610000000001</v>
      </c>
      <c r="H51" s="15">
        <v>7.7858280000000004</v>
      </c>
      <c r="I51" s="15">
        <v>10.86111</v>
      </c>
      <c r="J51" s="15">
        <v>14.290039999999999</v>
      </c>
      <c r="K51" s="15">
        <v>13.524319999999999</v>
      </c>
      <c r="L51" s="15">
        <v>10.031459999999999</v>
      </c>
      <c r="M51" s="15">
        <v>5.0274349999999997</v>
      </c>
      <c r="N51" s="15">
        <v>2.6618650000000001</v>
      </c>
      <c r="O51" s="15">
        <v>-5.0930790000000004</v>
      </c>
    </row>
    <row r="52" spans="1:15" x14ac:dyDescent="0.2">
      <c r="A52" s="14"/>
      <c r="C52" s="10">
        <v>2013</v>
      </c>
      <c r="D52" s="15">
        <v>-3.9884339999999998</v>
      </c>
      <c r="E52" s="15">
        <v>-2.7279659999999999</v>
      </c>
      <c r="F52" s="15">
        <v>-4.9905090000000003</v>
      </c>
      <c r="G52" s="15">
        <v>2.2180179999999998</v>
      </c>
      <c r="H52" s="15">
        <v>9.8863529999999997</v>
      </c>
      <c r="I52" s="15">
        <v>13.48715</v>
      </c>
      <c r="J52" s="15">
        <v>14.933070000000001</v>
      </c>
      <c r="K52" s="15">
        <v>14.634029999999999</v>
      </c>
      <c r="L52" s="15">
        <v>10.97424</v>
      </c>
      <c r="M52" s="15">
        <v>6.1556090000000001</v>
      </c>
      <c r="N52" s="15">
        <v>2.2191770000000002</v>
      </c>
      <c r="O52" s="15">
        <v>0.92126459999999999</v>
      </c>
    </row>
    <row r="53" spans="1:15" x14ac:dyDescent="0.2">
      <c r="A53" s="14"/>
      <c r="C53" s="10">
        <v>2014</v>
      </c>
      <c r="D53" s="15">
        <v>-4.6215210000000004</v>
      </c>
      <c r="E53" s="15">
        <v>0.63253780000000004</v>
      </c>
      <c r="F53" s="15">
        <v>1.6897279999999999</v>
      </c>
      <c r="G53" s="15">
        <v>4.1873170000000002</v>
      </c>
      <c r="H53" s="15">
        <v>8.1756290000000007</v>
      </c>
      <c r="I53" s="15">
        <v>11.47247</v>
      </c>
      <c r="J53" s="15">
        <v>17.290890000000001</v>
      </c>
      <c r="K53" s="15">
        <v>14.699619999999999</v>
      </c>
      <c r="L53" s="15">
        <v>11.026339999999999</v>
      </c>
      <c r="M53" s="15">
        <v>6.0632020000000004</v>
      </c>
      <c r="N53" s="15">
        <v>2.2467350000000001</v>
      </c>
      <c r="O53" s="15">
        <v>-0.95993039999999996</v>
      </c>
    </row>
    <row r="54" spans="1:15" x14ac:dyDescent="0.2">
      <c r="A54" s="14"/>
      <c r="C54" s="10">
        <v>2015</v>
      </c>
      <c r="D54" s="15">
        <v>-2.1488040000000002</v>
      </c>
      <c r="E54" s="15">
        <v>-0.58792109999999997</v>
      </c>
      <c r="F54" s="15">
        <v>1.6962280000000001</v>
      </c>
      <c r="G54" s="15">
        <v>3.8659970000000001</v>
      </c>
      <c r="H54" s="15">
        <v>7.3847050000000003</v>
      </c>
      <c r="I54" s="15">
        <v>10.79523</v>
      </c>
      <c r="J54" s="15">
        <v>13.3851</v>
      </c>
      <c r="K54" s="15">
        <v>14.9693</v>
      </c>
      <c r="L54" s="15">
        <v>11.504759999999999</v>
      </c>
      <c r="M54" s="15">
        <v>5.9518129999999996</v>
      </c>
      <c r="N54" s="15">
        <v>3.2985229999999999</v>
      </c>
      <c r="O54" s="15">
        <v>1.3471070000000001</v>
      </c>
    </row>
    <row r="55" spans="1:15" x14ac:dyDescent="0.2">
      <c r="A55" s="14"/>
      <c r="C55" s="11">
        <v>2016</v>
      </c>
      <c r="D55" s="15">
        <v>-6.4430540000000001</v>
      </c>
      <c r="E55" s="15">
        <v>-1.0067440000000001</v>
      </c>
      <c r="F55" s="15">
        <v>0.70379639999999999</v>
      </c>
      <c r="G55" s="15">
        <v>3.6907649999999999</v>
      </c>
      <c r="H55" s="15">
        <v>9.7434999999999992</v>
      </c>
      <c r="I55" s="15">
        <v>12.55954</v>
      </c>
      <c r="J55" s="15">
        <v>15.2995</v>
      </c>
      <c r="K55" s="15">
        <v>13.664</v>
      </c>
      <c r="L55" s="15">
        <v>11.93872</v>
      </c>
      <c r="M55" s="15">
        <v>5.4841920000000002</v>
      </c>
      <c r="N55" s="15">
        <v>0.46511839999999999</v>
      </c>
      <c r="O55" s="15">
        <v>0.52655030000000003</v>
      </c>
    </row>
    <row r="56" spans="1:15" x14ac:dyDescent="0.2">
      <c r="A56" s="14"/>
      <c r="C56" s="11">
        <v>2017</v>
      </c>
      <c r="D56" s="15">
        <v>-1.760834</v>
      </c>
      <c r="E56" s="15">
        <v>-2.1228030000000002</v>
      </c>
      <c r="F56" s="15">
        <v>0.38085940000000001</v>
      </c>
      <c r="G56" s="15">
        <v>2.095917</v>
      </c>
      <c r="H56" s="15">
        <v>6.9100950000000001</v>
      </c>
      <c r="I56" s="15">
        <v>11.502230000000001</v>
      </c>
      <c r="J56" s="15">
        <v>13.91403</v>
      </c>
      <c r="K56" s="15">
        <v>13.698090000000001</v>
      </c>
      <c r="L56" s="15">
        <v>10.952059999999999</v>
      </c>
      <c r="M56" s="15">
        <v>6.1210019999999998</v>
      </c>
      <c r="N56" s="15">
        <v>1.720825</v>
      </c>
      <c r="O56" s="15">
        <v>-0.51135249999999999</v>
      </c>
    </row>
    <row r="57" spans="1:15" x14ac:dyDescent="0.2">
      <c r="A57" s="14"/>
      <c r="C57" s="11">
        <v>2018</v>
      </c>
      <c r="D57" s="15">
        <v>-2.4642330000000001</v>
      </c>
      <c r="E57" s="15">
        <v>-5.3624270000000003</v>
      </c>
      <c r="F57" s="15">
        <v>-3.7905880000000001</v>
      </c>
      <c r="G57" s="15">
        <v>3.6984249999999999</v>
      </c>
      <c r="H57" s="15">
        <v>11.11365</v>
      </c>
      <c r="I57" s="15">
        <v>12.34549</v>
      </c>
      <c r="J57" s="15">
        <v>17.491879999999998</v>
      </c>
      <c r="K57" s="15">
        <v>15.064030000000001</v>
      </c>
      <c r="L57" s="15">
        <v>11.338200000000001</v>
      </c>
      <c r="M57" s="15">
        <v>6.0157470000000002</v>
      </c>
      <c r="N57" s="15">
        <v>3.2470699999999999</v>
      </c>
      <c r="O57" s="15">
        <v>-0.87780760000000002</v>
      </c>
    </row>
    <row r="58" spans="1:15" x14ac:dyDescent="0.2">
      <c r="A58" s="14"/>
      <c r="C58" s="11">
        <v>2019</v>
      </c>
      <c r="D58" s="15">
        <v>-4.1452640000000001</v>
      </c>
      <c r="E58" s="15">
        <v>-1.049042</v>
      </c>
      <c r="F58" s="15">
        <v>-0.18612670000000001</v>
      </c>
      <c r="G58" s="15">
        <v>4.8522030000000003</v>
      </c>
      <c r="H58" s="15">
        <v>7.498138</v>
      </c>
      <c r="I58" s="15">
        <v>13.25812</v>
      </c>
      <c r="J58" s="15">
        <v>14.24179</v>
      </c>
      <c r="K58" s="15">
        <v>14.478490000000001</v>
      </c>
      <c r="L58" s="15">
        <v>10.199339999999999</v>
      </c>
      <c r="M58" s="15">
        <v>4.8862300000000003</v>
      </c>
      <c r="N58" s="15">
        <v>0.83966059999999998</v>
      </c>
      <c r="O58" s="15">
        <v>1.010651</v>
      </c>
    </row>
    <row r="59" spans="1:15" x14ac:dyDescent="0.2">
      <c r="A59" s="14"/>
      <c r="C59" s="11">
        <v>2020</v>
      </c>
      <c r="D59" s="15">
        <v>1.151886</v>
      </c>
      <c r="E59" s="15">
        <v>-0.1079712</v>
      </c>
      <c r="F59" s="15">
        <v>0.78439329999999996</v>
      </c>
      <c r="G59" s="15">
        <v>3.1890260000000001</v>
      </c>
      <c r="H59" s="15">
        <v>6.6658020000000002</v>
      </c>
      <c r="I59" s="15">
        <v>14.553649999999999</v>
      </c>
      <c r="J59" s="15">
        <v>13.84637</v>
      </c>
      <c r="K59" s="15">
        <v>14.65649</v>
      </c>
      <c r="L59" s="15">
        <v>11.25098</v>
      </c>
      <c r="M59" s="15">
        <v>7.2580869999999997</v>
      </c>
      <c r="N59" s="15">
        <v>4.3371279999999999</v>
      </c>
      <c r="O59" s="15">
        <v>0.99975590000000003</v>
      </c>
    </row>
    <row r="60" spans="1:15" x14ac:dyDescent="0.2">
      <c r="A60" s="14"/>
      <c r="C60" s="11">
        <v>2021</v>
      </c>
      <c r="D60" s="15">
        <v>-4.1706849999999998</v>
      </c>
      <c r="E60" s="15">
        <v>-4.798584</v>
      </c>
      <c r="F60" s="15">
        <v>0.2710571</v>
      </c>
      <c r="G60" s="15">
        <v>2.9238279999999999</v>
      </c>
      <c r="H60" s="15">
        <v>7.2726139999999999</v>
      </c>
      <c r="I60" s="15">
        <v>14.48227</v>
      </c>
      <c r="J60" s="15">
        <v>16.919039999999999</v>
      </c>
      <c r="K60" s="15">
        <v>13.59454</v>
      </c>
      <c r="L60" s="15">
        <v>9.9805299999999999</v>
      </c>
      <c r="M60" s="15">
        <v>6.826111</v>
      </c>
      <c r="N60" s="15">
        <v>1.5750120000000001</v>
      </c>
      <c r="O60" s="15">
        <v>-3.4773860000000001</v>
      </c>
    </row>
    <row r="61" spans="1:15" x14ac:dyDescent="0.2">
      <c r="A61" s="14"/>
      <c r="C61" s="11">
        <v>2022</v>
      </c>
      <c r="D61" s="15">
        <v>-1.840546</v>
      </c>
      <c r="E61" s="15">
        <v>-1.7099299999999999</v>
      </c>
      <c r="F61" s="15">
        <v>0.79327389999999998</v>
      </c>
      <c r="G61" s="15">
        <v>2.7746580000000001</v>
      </c>
      <c r="H61" s="15">
        <v>7.7805179999999998</v>
      </c>
      <c r="I61" s="15">
        <v>13.473940000000001</v>
      </c>
      <c r="J61" s="15">
        <v>15.054690000000001</v>
      </c>
      <c r="K61" s="15">
        <v>15.518129999999999</v>
      </c>
      <c r="L61" s="15">
        <v>9.8570250000000001</v>
      </c>
      <c r="M61" s="15">
        <v>7.2492979999999996</v>
      </c>
      <c r="N61" s="15">
        <v>2.8087460000000002</v>
      </c>
      <c r="O61" s="15">
        <v>-2.7649840000000001</v>
      </c>
    </row>
    <row r="62" spans="1:15" x14ac:dyDescent="0.2">
      <c r="A62" s="14"/>
      <c r="C62" s="11">
        <v>2023</v>
      </c>
      <c r="D62" s="15">
        <v>-0.93572999999999995</v>
      </c>
      <c r="E62" s="15">
        <v>-0.96514889999999998</v>
      </c>
      <c r="F62" s="15">
        <v>-2.1302189999999999</v>
      </c>
      <c r="G62" s="15">
        <v>3.6970519999999998</v>
      </c>
      <c r="H62" s="15">
        <v>8.3810120000000001</v>
      </c>
      <c r="I62" s="15">
        <v>13.525510000000001</v>
      </c>
      <c r="J62" s="15">
        <v>14.603579999999999</v>
      </c>
      <c r="K62" s="15">
        <v>15.192690000000001</v>
      </c>
      <c r="L62" s="15">
        <v>12.78467</v>
      </c>
      <c r="M62" s="15">
        <v>4.3572689999999996</v>
      </c>
      <c r="N62" s="15">
        <v>-0.67706299999999997</v>
      </c>
      <c r="O62" s="15">
        <v>-3.2660830000000001</v>
      </c>
    </row>
    <row r="63" spans="1:15" x14ac:dyDescent="0.2">
      <c r="A63" s="14"/>
      <c r="C63" s="11">
        <v>2024</v>
      </c>
      <c r="D63" s="15">
        <v>-5.0671689999999998</v>
      </c>
      <c r="E63" s="15">
        <v>-2.1376650000000001</v>
      </c>
      <c r="F63" s="15">
        <v>0.90069580000000005</v>
      </c>
      <c r="G63" s="15">
        <v>2.790619</v>
      </c>
      <c r="H63" s="15">
        <v>10.457369999999999</v>
      </c>
      <c r="I63" s="15">
        <v>13.681979999999999</v>
      </c>
      <c r="J63" s="15">
        <v>15.84418</v>
      </c>
      <c r="K63" s="15">
        <v>15.71945</v>
      </c>
      <c r="L63" s="15">
        <v>12.50296</v>
      </c>
      <c r="M63" s="15">
        <v>6.9671329999999996</v>
      </c>
      <c r="N63" s="15">
        <v>2.587494</v>
      </c>
      <c r="O63" s="15">
        <v>-0.12155150000000001</v>
      </c>
    </row>
    <row r="64" spans="1:15" x14ac:dyDescent="0.2">
      <c r="A64" s="14"/>
      <c r="C64" s="12">
        <v>2025</v>
      </c>
      <c r="D64" s="15">
        <v>-1.488739</v>
      </c>
      <c r="E64" s="15">
        <v>-1.3574219999999999</v>
      </c>
      <c r="F64" s="15">
        <v>1.576233</v>
      </c>
      <c r="G64" s="15">
        <v>4.3814089999999997</v>
      </c>
      <c r="H64" s="15">
        <v>7.7515559999999999</v>
      </c>
      <c r="I64" s="15">
        <v>11.96655</v>
      </c>
      <c r="J64" s="15">
        <v>16.987030000000001</v>
      </c>
      <c r="K64" s="15">
        <v>14.218349999999999</v>
      </c>
      <c r="L64" s="15">
        <v>12.653079999999999</v>
      </c>
      <c r="M64" s="15">
        <v>7.105499</v>
      </c>
      <c r="N64" s="15">
        <v>2.0210270000000001</v>
      </c>
      <c r="O64" s="16">
        <v>1.2034910000000001</v>
      </c>
    </row>
    <row r="65" spans="1:15" x14ac:dyDescent="0.2">
      <c r="A65" s="23"/>
      <c r="C65" s="22">
        <v>2026</v>
      </c>
      <c r="D65" s="15">
        <v>-6.496124</v>
      </c>
      <c r="E65" s="15">
        <v>-6.5062559999999996</v>
      </c>
      <c r="F65" s="15">
        <v>2.930847</v>
      </c>
      <c r="G65" s="15">
        <v>4.4375309999999999</v>
      </c>
      <c r="H65" s="15"/>
      <c r="I65" s="15"/>
      <c r="J65" s="15"/>
      <c r="K65" s="15"/>
      <c r="L65" s="15"/>
      <c r="M65" s="15"/>
      <c r="N65" s="15"/>
      <c r="O65" s="16"/>
    </row>
    <row r="66" spans="1:15" x14ac:dyDescent="0.2">
      <c r="C66" s="7" t="s">
        <v>20</v>
      </c>
      <c r="D66" s="17">
        <f>AVERAGE(D15:D64)</f>
        <v>-3.7465473200000012</v>
      </c>
      <c r="E66" s="17">
        <f t="shared" ref="E66:O66" si="3">AVERAGE(E15:E64)</f>
        <v>-3.6736620915999998</v>
      </c>
      <c r="F66" s="17">
        <f t="shared" si="3"/>
        <v>-0.98650324760000008</v>
      </c>
      <c r="G66" s="17">
        <f t="shared" si="3"/>
        <v>2.9593981639999991</v>
      </c>
      <c r="H66" s="17">
        <f t="shared" si="3"/>
        <v>7.8305525199999977</v>
      </c>
      <c r="I66" s="17">
        <f t="shared" si="3"/>
        <v>12.031047059999999</v>
      </c>
      <c r="J66" s="17">
        <f t="shared" si="3"/>
        <v>14.745694400000001</v>
      </c>
      <c r="K66" s="17">
        <f t="shared" si="3"/>
        <v>13.967116599999999</v>
      </c>
      <c r="L66" s="17">
        <f t="shared" si="3"/>
        <v>10.202346240000001</v>
      </c>
      <c r="M66" s="17">
        <f t="shared" si="3"/>
        <v>5.5139392599999999</v>
      </c>
      <c r="N66" s="17">
        <f t="shared" si="3"/>
        <v>1.1314904942000001</v>
      </c>
      <c r="O66" s="17">
        <f t="shared" si="3"/>
        <v>-2.0800298934000003</v>
      </c>
    </row>
    <row r="67" spans="1:15" x14ac:dyDescent="0.2">
      <c r="C67" s="8" t="s">
        <v>17</v>
      </c>
      <c r="D67" s="18">
        <f>MIN(D15:D64)</f>
        <v>-11.321809999999999</v>
      </c>
      <c r="E67" s="18">
        <f t="shared" ref="E67:O67" si="4">MIN(E15:E64)</f>
        <v>-11.02835</v>
      </c>
      <c r="F67" s="18">
        <f t="shared" si="4"/>
        <v>-4.9905090000000003</v>
      </c>
      <c r="G67" s="18">
        <f t="shared" si="4"/>
        <v>0.71463010000000005</v>
      </c>
      <c r="H67" s="18">
        <f t="shared" si="4"/>
        <v>6.0633540000000004</v>
      </c>
      <c r="I67" s="18">
        <f t="shared" si="4"/>
        <v>9.6394350000000006</v>
      </c>
      <c r="J67" s="18">
        <f t="shared" si="4"/>
        <v>12.893129999999999</v>
      </c>
      <c r="K67" s="18">
        <f t="shared" si="4"/>
        <v>11.27313</v>
      </c>
      <c r="L67" s="18">
        <f t="shared" si="4"/>
        <v>7.1430360000000004</v>
      </c>
      <c r="M67" s="18">
        <f t="shared" si="4"/>
        <v>1.170105</v>
      </c>
      <c r="N67" s="18">
        <f t="shared" si="4"/>
        <v>-2.2217709999999999</v>
      </c>
      <c r="O67" s="18">
        <f t="shared" si="4"/>
        <v>-8.5000610000000005</v>
      </c>
    </row>
    <row r="68" spans="1:15" x14ac:dyDescent="0.2">
      <c r="C68" s="8" t="s">
        <v>24</v>
      </c>
      <c r="D68" s="18">
        <f>D69-D67</f>
        <v>12.473695999999999</v>
      </c>
      <c r="E68" s="18">
        <f t="shared" ref="E68:O68" si="5">E69-E67</f>
        <v>12.930937999999999</v>
      </c>
      <c r="F68" s="18">
        <f t="shared" si="5"/>
        <v>7.2687990000000005</v>
      </c>
      <c r="G68" s="18">
        <f t="shared" si="5"/>
        <v>4.2785948999999999</v>
      </c>
      <c r="H68" s="18">
        <f t="shared" si="5"/>
        <v>5.0502959999999995</v>
      </c>
      <c r="I68" s="18">
        <f t="shared" si="5"/>
        <v>4.9142149999999987</v>
      </c>
      <c r="J68" s="18">
        <f t="shared" si="5"/>
        <v>4.598749999999999</v>
      </c>
      <c r="K68" s="18">
        <f t="shared" si="5"/>
        <v>5.21692</v>
      </c>
      <c r="L68" s="18">
        <f t="shared" si="5"/>
        <v>5.6416339999999998</v>
      </c>
      <c r="M68" s="18">
        <f t="shared" si="5"/>
        <v>6.9651490000000003</v>
      </c>
      <c r="N68" s="18">
        <f t="shared" si="5"/>
        <v>6.5588990000000003</v>
      </c>
      <c r="O68" s="19">
        <f t="shared" si="5"/>
        <v>11.090607</v>
      </c>
    </row>
    <row r="69" spans="1:15" x14ac:dyDescent="0.2">
      <c r="C69" s="9" t="s">
        <v>18</v>
      </c>
      <c r="D69" s="20">
        <f>MAX(D15:D64)</f>
        <v>1.151886</v>
      </c>
      <c r="E69" s="20">
        <f t="shared" ref="E69:O69" si="6">MAX(E15:E64)</f>
        <v>1.9025879999999999</v>
      </c>
      <c r="F69" s="20">
        <f t="shared" si="6"/>
        <v>2.2782900000000001</v>
      </c>
      <c r="G69" s="20">
        <f t="shared" si="6"/>
        <v>4.9932249999999998</v>
      </c>
      <c r="H69" s="20">
        <f t="shared" si="6"/>
        <v>11.11365</v>
      </c>
      <c r="I69" s="20">
        <f t="shared" si="6"/>
        <v>14.553649999999999</v>
      </c>
      <c r="J69" s="20">
        <f t="shared" si="6"/>
        <v>17.491879999999998</v>
      </c>
      <c r="K69" s="20">
        <f t="shared" si="6"/>
        <v>16.49005</v>
      </c>
      <c r="L69" s="20">
        <f t="shared" si="6"/>
        <v>12.78467</v>
      </c>
      <c r="M69" s="20">
        <f t="shared" si="6"/>
        <v>8.1352539999999998</v>
      </c>
      <c r="N69" s="20">
        <f t="shared" si="6"/>
        <v>4.3371279999999999</v>
      </c>
      <c r="O69" s="20">
        <f t="shared" si="6"/>
        <v>2.5905459999999998</v>
      </c>
    </row>
    <row r="70" spans="1:15" x14ac:dyDescent="0.2">
      <c r="C70" t="s">
        <v>23</v>
      </c>
      <c r="D70" s="5">
        <f>D64-D66</f>
        <v>2.2578083200000014</v>
      </c>
      <c r="E70" s="5">
        <f t="shared" ref="E70:O70" si="7">E64-E66</f>
        <v>2.3162400916000001</v>
      </c>
      <c r="F70" s="5">
        <f t="shared" si="7"/>
        <v>2.5627362476000002</v>
      </c>
      <c r="G70" s="5">
        <f t="shared" si="7"/>
        <v>1.4220108360000006</v>
      </c>
      <c r="H70" s="5">
        <f t="shared" si="7"/>
        <v>-7.8996519999997794E-2</v>
      </c>
      <c r="I70" s="5">
        <f t="shared" si="7"/>
        <v>-6.4497059999998996E-2</v>
      </c>
      <c r="J70" s="5">
        <f t="shared" si="7"/>
        <v>2.2413355999999993</v>
      </c>
      <c r="K70" s="5">
        <f t="shared" si="7"/>
        <v>0.25123340000000027</v>
      </c>
      <c r="L70" s="5">
        <f t="shared" si="7"/>
        <v>2.4507337599999985</v>
      </c>
      <c r="M70" s="5">
        <f t="shared" si="7"/>
        <v>1.5915597400000001</v>
      </c>
      <c r="N70" s="5">
        <f t="shared" si="7"/>
        <v>0.88953650579999999</v>
      </c>
      <c r="O70" s="5">
        <f t="shared" si="7"/>
        <v>3.2835208934000004</v>
      </c>
    </row>
    <row r="72" spans="1:15" x14ac:dyDescent="0.2">
      <c r="C72" s="21" t="s">
        <v>21</v>
      </c>
    </row>
    <row r="74" spans="1:15" x14ac:dyDescent="0.2">
      <c r="C74" s="4"/>
    </row>
    <row r="75" spans="1:15" x14ac:dyDescent="0.2">
      <c r="C75" s="4"/>
    </row>
    <row r="76" spans="1:15" x14ac:dyDescent="0.2">
      <c r="C76" s="4"/>
    </row>
    <row r="84" spans="3:3" x14ac:dyDescent="0.2">
      <c r="C84" s="4" t="s">
        <v>25</v>
      </c>
    </row>
  </sheetData>
  <dataValidations count="1">
    <dataValidation type="list" allowBlank="1" showInputMessage="1" showErrorMessage="1" sqref="C8" xr:uid="{D2DFB421-2287-44C9-AC07-7ABBC879AB95}">
      <formula1>#REF!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5EF05-E1A3-4A9D-AA4D-B5BB5CE0584B}">
  <sheetPr>
    <tabColor theme="4"/>
  </sheetPr>
  <dimension ref="B2:V13"/>
  <sheetViews>
    <sheetView tabSelected="1" zoomScale="85" zoomScaleNormal="85" workbookViewId="0">
      <selection activeCell="AD12" sqref="AD12"/>
    </sheetView>
  </sheetViews>
  <sheetFormatPr defaultColWidth="8.6640625" defaultRowHeight="11.25" x14ac:dyDescent="0.2"/>
  <cols>
    <col min="3" max="3" width="11.83203125" customWidth="1"/>
  </cols>
  <sheetData>
    <row r="2" spans="2:22" x14ac:dyDescent="0.2"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</row>
    <row r="3" spans="2:22" x14ac:dyDescent="0.2">
      <c r="C3" s="26">
        <v>46113</v>
      </c>
      <c r="D3" s="2" t="str" cm="1">
        <f t="array" ref="D3:G3">TRANSPOSE(Wind!C66:C69)</f>
        <v>50Y Avg</v>
      </c>
      <c r="E3" s="2" t="str">
        <v>Min</v>
      </c>
      <c r="F3" s="2" t="str">
        <v>50Y Range</v>
      </c>
      <c r="G3" s="2" t="str">
        <v>Max</v>
      </c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</row>
    <row r="4" spans="2:22" ht="22.5" x14ac:dyDescent="0.2">
      <c r="B4" s="25" t="s">
        <v>28</v>
      </c>
      <c r="C4" cm="1">
        <f t="array" ref="C4:G4">TRANSPOSE(Wind!$G$65:$G$69)</f>
        <v>4.9012799999999999</v>
      </c>
      <c r="D4">
        <v>4.6190988799999992</v>
      </c>
      <c r="E4" s="28">
        <v>4.1010369999999998</v>
      </c>
      <c r="F4">
        <v>1.330533</v>
      </c>
      <c r="G4">
        <v>5.4315699999999998</v>
      </c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</row>
    <row r="5" spans="2:22" ht="22.5" x14ac:dyDescent="0.2">
      <c r="B5" s="25" t="s">
        <v>29</v>
      </c>
      <c r="C5" cm="1">
        <f t="array" ref="C5:G5">TRANSPOSE(Rain!$G$65:$G$69)</f>
        <v>1.2475210000000001</v>
      </c>
      <c r="D5">
        <v>1.7748912660000002</v>
      </c>
      <c r="E5" s="28">
        <v>0.73741129999999999</v>
      </c>
      <c r="F5">
        <v>1.9338656999999999</v>
      </c>
      <c r="G5">
        <v>2.6712769999999999</v>
      </c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</row>
    <row r="6" spans="2:22" ht="22.5" x14ac:dyDescent="0.2">
      <c r="B6" s="25" t="s">
        <v>30</v>
      </c>
      <c r="C6" cm="1">
        <f t="array" ref="C6:G6">TRANSPOSE(Temp!$G$65:$G$69)</f>
        <v>4.4375309999999999</v>
      </c>
      <c r="D6">
        <v>2.9593981639999991</v>
      </c>
      <c r="E6" s="28">
        <v>0.71463010000000005</v>
      </c>
      <c r="F6">
        <v>4.2785948999999999</v>
      </c>
      <c r="G6" s="28">
        <v>4.9932249999999998</v>
      </c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</row>
    <row r="7" spans="2:22" x14ac:dyDescent="0.2"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</row>
    <row r="8" spans="2:22" x14ac:dyDescent="0.2"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2:22" x14ac:dyDescent="0.2"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2:22" x14ac:dyDescent="0.2"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2:22" x14ac:dyDescent="0.2"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2:22" x14ac:dyDescent="0.2"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2:22" x14ac:dyDescent="0.2">
      <c r="B13" s="25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45FA-9749-4A32-9068-67F4D95B93C9}">
  <sheetPr>
    <tabColor theme="0"/>
  </sheetPr>
  <dimension ref="A1"/>
  <sheetViews>
    <sheetView workbookViewId="0">
      <selection activeCell="M50" sqref="M50"/>
    </sheetView>
  </sheetViews>
  <sheetFormatPr defaultColWidth="8.6640625" defaultRowHeight="11.25" x14ac:dyDescent="0.2"/>
  <sheetData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6FC69C-26D6-4379-A8DA-82DC8063F1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Wind</vt:lpstr>
      <vt:lpstr>Rain</vt:lpstr>
      <vt:lpstr>Temp</vt:lpstr>
      <vt:lpstr>Sum</vt:lpstr>
      <vt:lpstr>Blank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Ho</dc:creator>
  <cp:lastModifiedBy>Jerry Ho</cp:lastModifiedBy>
  <dcterms:created xsi:type="dcterms:W3CDTF">2022-11-24T14:26:40Z</dcterms:created>
  <dcterms:modified xsi:type="dcterms:W3CDTF">2026-05-21T09:48:08Z</dcterms:modified>
</cp:coreProperties>
</file>