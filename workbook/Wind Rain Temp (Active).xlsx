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0" activeTab="3" autoFilterDateGrouping="1"/>
  </bookViews>
  <sheets>
    <sheet name="Wind" sheetId="1" state="visible" r:id="rId1"/>
    <sheet name="Rain" sheetId="2" state="visible" r:id="rId2"/>
    <sheet name="Temp" sheetId="3" state="visible" r:id="rId3"/>
    <sheet name="Sum" sheetId="4" state="visible" r:id="rId4"/>
    <sheet name="Blank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#,##0;[Red]\(#,##0\);\-"/>
    <numFmt numFmtId="165" formatCode="#,##0.0;[Red]\(#,##0.0\);\-"/>
    <numFmt numFmtId="166" formatCode="0%;[Red]\(0%\);\-"/>
    <numFmt numFmtId="167" formatCode="#,##0.00;[Red]\(#,##0.00\);\-"/>
    <numFmt numFmtId="168" formatCode="[$-409]dd\-mmm\-yy;@"/>
  </numFmts>
  <fonts count="30">
    <font>
      <name val="Arial"/>
      <family val="2"/>
      <color theme="1"/>
      <sz val="8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color rgb="FFFA7D00"/>
      <sz val="10"/>
    </font>
    <font>
      <name val="Poppins"/>
      <b val="1"/>
      <color theme="0"/>
      <sz val="8"/>
    </font>
    <font>
      <name val="Poppins"/>
      <color rgb="FF0070C0"/>
      <sz val="8"/>
    </font>
    <font>
      <name val="Poppins"/>
      <b val="1"/>
      <color theme="9" tint="-0.499984740745262"/>
      <sz val="8"/>
    </font>
    <font>
      <name val="Poppins"/>
      <color theme="1"/>
      <sz val="8"/>
    </font>
    <font>
      <name val="Calibri Light"/>
      <family val="2"/>
      <color theme="3"/>
      <sz val="18"/>
      <scheme val="maj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3F3F3F"/>
      <sz val="10"/>
    </font>
    <font>
      <name val="Arial"/>
      <family val="2"/>
      <color rgb="FFFF0000"/>
      <sz val="10"/>
    </font>
    <font>
      <name val="Arial"/>
      <family val="2"/>
      <color theme="0"/>
      <sz val="10"/>
    </font>
    <font>
      <name val="Arial"/>
      <family val="2"/>
      <color theme="1"/>
      <sz val="8"/>
    </font>
    <font>
      <name val="Arial"/>
      <family val="2"/>
      <b val="1"/>
      <color theme="0"/>
      <sz val="8"/>
    </font>
    <font>
      <name val="Arial"/>
      <family val="2"/>
      <b val="1"/>
      <color theme="9" tint="-0.499984740745262"/>
      <sz val="8"/>
    </font>
    <font>
      <name val="Arial"/>
      <family val="2"/>
      <b val="1"/>
      <color theme="1"/>
      <sz val="8"/>
    </font>
    <font>
      <name val="Arial"/>
      <family val="2"/>
      <color theme="6"/>
      <sz val="8"/>
    </font>
    <font>
      <name val="Arial"/>
      <family val="2"/>
      <color theme="0" tint="-0.499984740745262"/>
      <sz val="8"/>
    </font>
    <font>
      <name val="Arial"/>
      <family val="2"/>
      <color theme="9" tint="-0.499984740745262"/>
      <sz val="8"/>
    </font>
    <font>
      <name val="Arial"/>
      <family val="2"/>
      <b val="1"/>
      <color theme="2"/>
      <sz val="8"/>
    </font>
    <font>
      <name val="Arial"/>
      <family val="2"/>
      <b val="1"/>
      <color theme="3" tint="-0.499984740745262"/>
      <sz val="8"/>
    </font>
    <font>
      <name val="Arial"/>
      <family val="2"/>
      <color theme="5"/>
      <sz val="8"/>
    </font>
    <font>
      <name val="Arial"/>
      <family val="2"/>
      <color theme="6" tint="0.5999633777886288"/>
      <sz val="8"/>
    </font>
    <font>
      <name val="Arial"/>
      <family val="2"/>
      <b val="1"/>
      <i val="1"/>
      <color theme="1"/>
      <sz val="8"/>
    </font>
  </fonts>
  <fills count="47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lightTrellis">
        <bgColor theme="0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9" tint="-0.249946592608417"/>
        <bgColor indexed="64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9"/>
        <bgColor indexed="64"/>
      </patternFill>
    </fill>
    <fill>
      <patternFill patternType="solid">
        <fgColor theme="9" tint="0.5999633777886288"/>
        <bgColor indexed="64"/>
      </patternFill>
    </fill>
    <fill>
      <patternFill patternType="solid">
        <fgColor theme="7" tint="0.899960325937681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2" tint="0.5999633777886288"/>
        <bgColor indexed="64"/>
      </patternFill>
    </fill>
    <fill>
      <patternFill patternType="solid">
        <fgColor theme="7" tint="0.249946592608417"/>
        <bgColor indexed="64"/>
      </patternFill>
    </fill>
    <fill>
      <patternFill patternType="solid">
        <fgColor rgb="FFEE99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7" tint="0.8999908444471572"/>
        <bgColor indexed="64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7" tint="0.09994811853389081"/>
      </left>
      <right style="thin">
        <color theme="7" tint="0.09994811853389081"/>
      </right>
      <top style="thin">
        <color theme="7" tint="0.09994811853389081"/>
      </top>
      <bottom style="thin">
        <color theme="7" tint="0.09994811853389081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3" tint="-0.499984740745262"/>
      </left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</borders>
  <cellStyleXfs count="62">
    <xf numFmtId="164" fontId="18" fillId="0" borderId="0" applyAlignment="1">
      <alignment horizontal="center" vertical="center"/>
    </xf>
    <xf numFmtId="0" fontId="19" fillId="18" borderId="2"/>
    <xf numFmtId="0" fontId="19" fillId="30" borderId="2"/>
    <xf numFmtId="0" fontId="4" fillId="19" borderId="2"/>
    <xf numFmtId="0" fontId="19" fillId="29" borderId="2"/>
    <xf numFmtId="0" fontId="6" fillId="20" borderId="1"/>
    <xf numFmtId="0" fontId="5" fillId="21" borderId="3"/>
    <xf numFmtId="0" fontId="1" fillId="2" borderId="3"/>
    <xf numFmtId="0" fontId="1" fillId="3" borderId="0"/>
    <xf numFmtId="0" fontId="1" fillId="4" borderId="0"/>
    <xf numFmtId="0" fontId="1" fillId="5" borderId="3"/>
    <xf numFmtId="0" fontId="1" fillId="6" borderId="0"/>
    <xf numFmtId="0" fontId="1" fillId="7" borderId="0"/>
    <xf numFmtId="0" fontId="1" fillId="8" borderId="3"/>
    <xf numFmtId="0" fontId="1" fillId="9" borderId="0"/>
    <xf numFmtId="0" fontId="1" fillId="10" borderId="0"/>
    <xf numFmtId="0" fontId="1" fillId="22" borderId="3"/>
    <xf numFmtId="0" fontId="1" fillId="11" borderId="0"/>
    <xf numFmtId="0" fontId="1" fillId="12" borderId="0"/>
    <xf numFmtId="0" fontId="1" fillId="23" borderId="3"/>
    <xf numFmtId="0" fontId="1" fillId="13" borderId="0"/>
    <xf numFmtId="0" fontId="1" fillId="14" borderId="0"/>
    <xf numFmtId="0" fontId="1" fillId="20" borderId="3"/>
    <xf numFmtId="0" fontId="1" fillId="15" borderId="0"/>
    <xf numFmtId="0" fontId="1" fillId="16" borderId="0"/>
    <xf numFmtId="164" fontId="2" fillId="17" borderId="0" applyAlignment="1">
      <alignment horizontal="center" vertical="center"/>
    </xf>
    <xf numFmtId="0" fontId="3" fillId="22" borderId="3"/>
    <xf numFmtId="0" fontId="8" fillId="0" borderId="0"/>
    <xf numFmtId="0" fontId="9" fillId="24" borderId="0"/>
    <xf numFmtId="0" fontId="10" fillId="25" borderId="0"/>
    <xf numFmtId="0" fontId="11" fillId="26" borderId="0"/>
    <xf numFmtId="0" fontId="12" fillId="27" borderId="4"/>
    <xf numFmtId="0" fontId="7" fillId="28" borderId="5"/>
    <xf numFmtId="0" fontId="13" fillId="0" borderId="0"/>
    <xf numFmtId="0" fontId="14" fillId="0" borderId="6"/>
    <xf numFmtId="43" fontId="7" fillId="0" borderId="0"/>
    <xf numFmtId="41" fontId="7" fillId="0" borderId="0"/>
    <xf numFmtId="44" fontId="7" fillId="0" borderId="0"/>
    <xf numFmtId="42" fontId="7" fillId="0" borderId="0"/>
    <xf numFmtId="9" fontId="7" fillId="0" borderId="0"/>
    <xf numFmtId="0" fontId="15" fillId="31" borderId="7"/>
    <xf numFmtId="0" fontId="16" fillId="0" borderId="0"/>
    <xf numFmtId="0" fontId="17" fillId="32" borderId="0"/>
    <xf numFmtId="0" fontId="17" fillId="33" borderId="0"/>
    <xf numFmtId="0" fontId="17" fillId="34" borderId="0"/>
    <xf numFmtId="0" fontId="17" fillId="35" borderId="0"/>
    <xf numFmtId="0" fontId="17" fillId="36" borderId="0"/>
    <xf numFmtId="0" fontId="17" fillId="37" borderId="0"/>
    <xf numFmtId="164" fontId="19" fillId="18" borderId="8" applyAlignment="1">
      <alignment horizontal="left" vertical="center"/>
    </xf>
    <xf numFmtId="164" fontId="19" fillId="38" borderId="8" applyAlignment="1">
      <alignment horizontal="left" vertical="center"/>
    </xf>
    <xf numFmtId="164" fontId="20" fillId="39" borderId="8" applyAlignment="1">
      <alignment horizontal="left" vertical="center"/>
    </xf>
    <xf numFmtId="164" fontId="19" fillId="18" borderId="3" applyAlignment="1">
      <alignment horizontal="center"/>
    </xf>
    <xf numFmtId="164" fontId="19" fillId="38" borderId="3" applyAlignment="1">
      <alignment horizontal="center"/>
    </xf>
    <xf numFmtId="164" fontId="20" fillId="39" borderId="3" applyAlignment="1">
      <alignment horizontal="center"/>
    </xf>
    <xf numFmtId="168" fontId="18" fillId="40" borderId="9" applyAlignment="1">
      <alignment horizontal="center" vertical="center"/>
    </xf>
    <xf numFmtId="0" fontId="23" fillId="22" borderId="3" applyAlignment="1">
      <alignment horizontal="center" vertical="center"/>
    </xf>
    <xf numFmtId="0" fontId="22" fillId="40" borderId="10" applyAlignment="1">
      <alignment horizontal="center" vertical="center"/>
    </xf>
    <xf numFmtId="0" fontId="28" fillId="43" borderId="3" applyAlignment="1">
      <alignment horizontal="center" vertical="center"/>
    </xf>
    <xf numFmtId="0" fontId="24" fillId="41" borderId="3" applyAlignment="1">
      <alignment horizontal="center" vertical="center"/>
    </xf>
    <xf numFmtId="0" fontId="25" fillId="42" borderId="12" applyAlignment="1">
      <alignment horizontal="center" vertical="center"/>
    </xf>
    <xf numFmtId="0" fontId="26" fillId="23" borderId="11" applyAlignment="1">
      <alignment horizontal="center" vertical="center"/>
    </xf>
    <xf numFmtId="0" fontId="27" fillId="21" borderId="3" applyAlignment="1">
      <alignment horizontal="center" vertical="center"/>
    </xf>
  </cellStyleXfs>
  <cellXfs count="39">
    <xf numFmtId="164" fontId="0" fillId="0" borderId="0" applyAlignment="1" pivotButton="0" quotePrefix="0" xfId="0">
      <alignment horizontal="center" vertical="center"/>
    </xf>
    <xf numFmtId="164" fontId="19" fillId="18" borderId="3" applyAlignment="1" pivotButton="0" quotePrefix="0" xfId="51">
      <alignment horizontal="center"/>
    </xf>
    <xf numFmtId="164" fontId="21" fillId="0" borderId="0" applyAlignment="1" pivotButton="0" quotePrefix="0" xfId="0">
      <alignment horizontal="center" vertical="center"/>
    </xf>
    <xf numFmtId="164" fontId="25" fillId="42" borderId="12" applyAlignment="1" pivotButton="0" quotePrefix="0" xfId="59">
      <alignment horizontal="center" vertical="center"/>
    </xf>
    <xf numFmtId="164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4" fontId="0" fillId="46" borderId="13" applyAlignment="1" pivotButton="0" quotePrefix="0" xfId="0">
      <alignment horizontal="center" vertical="center"/>
    </xf>
    <xf numFmtId="164" fontId="0" fillId="46" borderId="15" applyAlignment="1" pivotButton="0" quotePrefix="0" xfId="0">
      <alignment horizontal="center" vertical="center"/>
    </xf>
    <xf numFmtId="164" fontId="0" fillId="46" borderId="17" applyAlignment="1" pivotButton="0" quotePrefix="0" xfId="0">
      <alignment horizontal="center" vertical="center"/>
    </xf>
    <xf numFmtId="1" fontId="0" fillId="22" borderId="13" applyAlignment="1" pivotButton="0" quotePrefix="0" xfId="0">
      <alignment horizontal="center" vertical="center"/>
    </xf>
    <xf numFmtId="1" fontId="0" fillId="22" borderId="15" applyAlignment="1" pivotButton="0" quotePrefix="0" xfId="0">
      <alignment horizontal="center" vertical="center"/>
    </xf>
    <xf numFmtId="1" fontId="0" fillId="22" borderId="17" applyAlignment="1" pivotButton="0" quotePrefix="0" xfId="0">
      <alignment horizontal="center" vertical="center"/>
    </xf>
    <xf numFmtId="164" fontId="21" fillId="45" borderId="0" applyAlignment="1" pivotButton="0" quotePrefix="0" xfId="0">
      <alignment horizontal="center" vertical="center"/>
    </xf>
    <xf numFmtId="164" fontId="0" fillId="23" borderId="14" applyAlignment="1" pivotButton="0" quotePrefix="0" xfId="0">
      <alignment horizontal="center" vertical="center"/>
    </xf>
    <xf numFmtId="167" fontId="0" fillId="22" borderId="14" applyAlignment="1" pivotButton="0" quotePrefix="0" xfId="0">
      <alignment horizontal="center" vertical="center"/>
    </xf>
    <xf numFmtId="167" fontId="0" fillId="45" borderId="14" applyAlignment="1" pivotButton="0" quotePrefix="0" xfId="0">
      <alignment horizontal="center" vertical="center"/>
    </xf>
    <xf numFmtId="167" fontId="0" fillId="46" borderId="14" applyAlignment="1" pivotButton="0" quotePrefix="0" xfId="0">
      <alignment horizontal="center" vertical="center"/>
    </xf>
    <xf numFmtId="167" fontId="0" fillId="46" borderId="3" applyAlignment="1" pivotButton="0" quotePrefix="0" xfId="0">
      <alignment horizontal="center" vertical="center"/>
    </xf>
    <xf numFmtId="167" fontId="0" fillId="46" borderId="16" applyAlignment="1" pivotButton="0" quotePrefix="0" xfId="0">
      <alignment horizontal="center" vertical="center"/>
    </xf>
    <xf numFmtId="167" fontId="0" fillId="46" borderId="18" applyAlignment="1" pivotButton="0" quotePrefix="0" xfId="0">
      <alignment horizontal="center" vertical="center"/>
    </xf>
    <xf numFmtId="164" fontId="29" fillId="44" borderId="0" applyAlignment="1" pivotButton="0" quotePrefix="0" xfId="0">
      <alignment horizontal="left" vertical="center"/>
    </xf>
    <xf numFmtId="1" fontId="0" fillId="22" borderId="19" applyAlignment="1" pivotButton="0" quotePrefix="0" xfId="0">
      <alignment horizontal="center" vertical="center"/>
    </xf>
    <xf numFmtId="164" fontId="0" fillId="23" borderId="0" applyAlignment="1" pivotButton="0" quotePrefix="0" xfId="0">
      <alignment horizontal="center" vertical="center"/>
    </xf>
    <xf numFmtId="164" fontId="21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center" vertical="center" wrapText="1"/>
    </xf>
    <xf numFmtId="168" fontId="21" fillId="0" borderId="0" applyAlignment="1" pivotButton="0" quotePrefix="0" xfId="0">
      <alignment horizontal="center" vertical="center"/>
    </xf>
    <xf numFmtId="164" fontId="0" fillId="18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7" fontId="0" fillId="22" borderId="14" applyAlignment="1" pivotButton="0" quotePrefix="0" xfId="0">
      <alignment horizontal="center" vertical="center"/>
    </xf>
    <xf numFmtId="167" fontId="0" fillId="46" borderId="14" applyAlignment="1" pivotButton="0" quotePrefix="0" xfId="0">
      <alignment horizontal="center" vertical="center"/>
    </xf>
    <xf numFmtId="167" fontId="0" fillId="46" borderId="3" applyAlignment="1" pivotButton="0" quotePrefix="0" xfId="0">
      <alignment horizontal="center" vertical="center"/>
    </xf>
    <xf numFmtId="167" fontId="0" fillId="46" borderId="18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45" borderId="14" applyAlignment="1" pivotButton="0" quotePrefix="0" xfId="0">
      <alignment horizontal="center" vertical="center"/>
    </xf>
    <xf numFmtId="167" fontId="0" fillId="46" borderId="16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8" fontId="21" fillId="0" borderId="0" applyAlignment="1" pivotButton="0" quotePrefix="0" xfId="0">
      <alignment horizontal="center" vertical="center"/>
    </xf>
  </cellXfs>
  <cellStyles count="62">
    <cellStyle name="Normal" xfId="0" builtinId="0"/>
    <cellStyle name="Heading 1" xfId="1" builtinId="16" hidden="1"/>
    <cellStyle name="Heading 2" xfId="2" builtinId="17" hidden="1"/>
    <cellStyle name="Heading 3" xfId="3" builtinId="18" hidden="1"/>
    <cellStyle name="Heading 4" xfId="4" builtinId="19" hidden="1"/>
    <cellStyle name="Input" xfId="5" builtinId="20" hidden="1"/>
    <cellStyle name="Linked Cell" xfId="6" builtinId="24" hidden="1"/>
    <cellStyle name="20% - Accent1" xfId="7" builtinId="30" hidden="1"/>
    <cellStyle name="40% - Accent1" xfId="8" builtinId="31" hidden="1"/>
    <cellStyle name="60% - Accent1" xfId="9" builtinId="32" hidden="1"/>
    <cellStyle name="20% - Accent2" xfId="10" builtinId="34" hidden="1"/>
    <cellStyle name="40% - Accent2" xfId="11" builtinId="35" hidden="1"/>
    <cellStyle name="60% - Accent2" xfId="12" builtinId="36" hidden="1"/>
    <cellStyle name="20% - Accent3" xfId="13" builtinId="38" hidden="1"/>
    <cellStyle name="40% - Accent3" xfId="14" builtinId="39" hidden="1"/>
    <cellStyle name="60% - Accent3" xfId="15" builtinId="40" hidden="1"/>
    <cellStyle name="20% - Accent4" xfId="16" builtinId="42" hidden="1"/>
    <cellStyle name="40% - Accent4" xfId="17" builtinId="43" hidden="1"/>
    <cellStyle name="60% - Accent4" xfId="18" builtinId="44" hidden="1"/>
    <cellStyle name="20% - Accent5" xfId="19" builtinId="46" hidden="1"/>
    <cellStyle name="40% - Accent5" xfId="20" builtinId="47" hidden="1"/>
    <cellStyle name="60% - Accent5" xfId="21" builtinId="48" hidden="1"/>
    <cellStyle name="20% - Accent6" xfId="22" builtinId="50" hidden="1"/>
    <cellStyle name="40% - Accent6" xfId="23" builtinId="51" hidden="1"/>
    <cellStyle name="60% - Accent6" xfId="24" builtinId="52" hidden="1"/>
    <cellStyle name="Blank" xfId="25"/>
    <cellStyle name="Calculation" xfId="26" builtinId="22" hidden="1"/>
    <cellStyle name="Title" xfId="27" builtinId="15" hidden="1"/>
    <cellStyle name="Good" xfId="28" builtinId="26" hidden="1"/>
    <cellStyle name="Bad" xfId="29" builtinId="27" hidden="1"/>
    <cellStyle name="Neutral" xfId="30" builtinId="28" hidden="1"/>
    <cellStyle name="Check Cell" xfId="31" builtinId="23" hidden="1"/>
    <cellStyle name="Note" xfId="32" builtinId="10" hidden="1"/>
    <cellStyle name="Explanatory Text" xfId="33" builtinId="53" hidden="1"/>
    <cellStyle name="Total" xfId="34" builtinId="25" hidden="1"/>
    <cellStyle name="Comma" xfId="35" builtinId="3" hidden="1"/>
    <cellStyle name="Comma [0]" xfId="36" builtinId="6" hidden="1"/>
    <cellStyle name="Currency" xfId="37" builtinId="4" hidden="1"/>
    <cellStyle name="Currency [0]" xfId="38" builtinId="7" hidden="1"/>
    <cellStyle name="Percent" xfId="39" builtinId="5" hidden="1"/>
    <cellStyle name="Output" xfId="40" builtinId="21" hidden="1"/>
    <cellStyle name="Warning Text" xfId="41" builtinId="11" hidden="1"/>
    <cellStyle name="Accent1" xfId="42" builtinId="29" hidden="1"/>
    <cellStyle name="Accent2" xfId="43" builtinId="33" hidden="1"/>
    <cellStyle name="Accent3" xfId="44" builtinId="37" hidden="1"/>
    <cellStyle name="Accent4" xfId="45" builtinId="41" hidden="1"/>
    <cellStyle name="Accent5" xfId="46" builtinId="45" hidden="1"/>
    <cellStyle name="Accent6" xfId="47" builtinId="49" hidden="1"/>
    <cellStyle name="S-Head1" xfId="48"/>
    <cellStyle name="S-Head2" xfId="49"/>
    <cellStyle name="S-Head3" xfId="50"/>
    <cellStyle name="T-Head1" xfId="51"/>
    <cellStyle name="T-Head2" xfId="52"/>
    <cellStyle name="T-Head3" xfId="53"/>
    <cellStyle name="Date" xfId="54"/>
    <cellStyle name="Data1" xfId="55"/>
    <cellStyle name="Data2" xfId="56"/>
    <cellStyle name="Linked2" xfId="57"/>
    <cellStyle name="Data3" xfId="58"/>
    <cellStyle name="Input1" xfId="59"/>
    <cellStyle name="Input2" xfId="60"/>
    <cellStyle name="Linked1" xfId="6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5440336236419129"/>
          <y val="0.05092592592592592"/>
          <w val="0.921628268639143"/>
          <h val="0.8648227925080607"/>
        </manualLayout>
      </layout>
      <areaChart>
        <grouping val="stacked"/>
        <varyColors val="0"/>
        <ser>
          <idx val="4"/>
          <order val="0"/>
          <tx>
            <strRef>
              <f>Wind!$C$67</f>
              <strCache>
                <ptCount val="1"/>
                <pt idx="0">
                  <v>Min</v>
                </pt>
              </strCache>
            </strRef>
          </tx>
          <spPr>
            <a:noFill/>
            <a:ln>
              <a:noFill/>
              <a:prstDash val="solid"/>
            </a:ln>
          </spPr>
          <cat>
            <strRef>
              <f>Wind!$D$8:$O$8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Wind!$D$67:$O$67</f>
              <numCache>
                <formatCode>#,##0.00;[Red]\(#,##0.00\);\-</formatCode>
                <ptCount val="12"/>
                <pt idx="0">
                  <v>4.828815</v>
                </pt>
                <pt idx="1">
                  <v>4.446784</v>
                </pt>
                <pt idx="2">
                  <v>4.348729</v>
                </pt>
                <pt idx="3">
                  <v>4.101037</v>
                </pt>
                <pt idx="4">
                  <v>3.784073</v>
                </pt>
                <pt idx="5">
                  <v>3.763991</v>
                </pt>
                <pt idx="6">
                  <v>3.490097</v>
                </pt>
                <pt idx="7">
                  <v>3.596812</v>
                </pt>
                <pt idx="8">
                  <v>4.229931</v>
                </pt>
                <pt idx="9">
                  <v>4.791058</v>
                </pt>
                <pt idx="10">
                  <v>4.688792</v>
                </pt>
                <pt idx="11">
                  <v>4.760631</v>
                </pt>
              </numCache>
            </numRef>
          </val>
        </ser>
        <ser>
          <idx val="5"/>
          <order val="1"/>
          <tx>
            <strRef>
              <f>Wind!$C$68</f>
              <strCache>
                <ptCount val="1"/>
                <pt idx="0">
                  <v>50Y Range</v>
                </pt>
              </strCache>
            </strRef>
          </tx>
          <spPr>
            <a:solidFill>
              <a:schemeClr val="accent1">
                <a:lumMod val="20000"/>
                <a:lumOff val="80000"/>
              </a:schemeClr>
            </a:solidFill>
            <a:ln>
              <a:noFill/>
              <a:prstDash val="solid"/>
            </a:ln>
          </spPr>
          <cat>
            <strRef>
              <f>Wind!$D$8:$O$8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Wind!$D$68:$O$68</f>
              <numCache>
                <formatCode>#,##0.00;[Red]\(#,##0.00\);\-</formatCode>
                <ptCount val="12"/>
                <pt idx="0">
                  <v>2.296373</v>
                </pt>
                <pt idx="1">
                  <v>2.204807</v>
                </pt>
                <pt idx="2">
                  <v>2.168726</v>
                </pt>
                <pt idx="3">
                  <v>1.330533</v>
                </pt>
                <pt idx="4">
                  <v>0.9486780000000006</v>
                </pt>
                <pt idx="5">
                  <v>1.072752</v>
                </pt>
                <pt idx="6">
                  <v>0.8846640000000003</v>
                </pt>
                <pt idx="7">
                  <v>1.054078000000001</v>
                </pt>
                <pt idx="8">
                  <v>1.30944</v>
                </pt>
                <pt idx="9">
                  <v>1.479863000000001</v>
                </pt>
                <pt idx="10">
                  <v>1.784339999999999</v>
                </pt>
                <pt idx="11">
                  <v>1.713453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lineChart>
        <grouping val="standard"/>
        <varyColors val="0"/>
        <ser>
          <idx val="6"/>
          <order val="6"/>
          <tx>
            <strRef>
              <f>Wind!$C$63</f>
              <strCache>
                <ptCount val="1"/>
                <pt idx="0">
                  <v>2024</v>
                </pt>
              </strCache>
            </strRef>
          </tx>
          <spPr>
            <a:ln w="28575" cap="rnd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Wind!$D$8:$O$8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Wind!$D$63:$O$63</f>
              <numCache>
                <formatCode>#,##0.00;[Red]\(#,##0.00\);\-</formatCode>
                <ptCount val="12"/>
                <pt idx="0">
                  <v>5.940959</v>
                </pt>
                <pt idx="1">
                  <v>5.475647</v>
                </pt>
                <pt idx="2">
                  <v>4.553717</v>
                </pt>
                <pt idx="3">
                  <v>4.762125</v>
                </pt>
                <pt idx="4">
                  <v>3.904403</v>
                </pt>
                <pt idx="5">
                  <v>4.31655</v>
                </pt>
                <pt idx="6">
                  <v>3.873881</v>
                </pt>
                <pt idx="7">
                  <v>4.622899</v>
                </pt>
                <pt idx="8">
                  <v>4.729383</v>
                </pt>
                <pt idx="9">
                  <v>5.439469</v>
                </pt>
                <pt idx="10">
                  <v>5.864489</v>
                </pt>
                <pt idx="11">
                  <v>6.168306</v>
                </pt>
              </numCache>
            </numRef>
          </val>
          <smooth val="0"/>
        </ser>
        <ser>
          <idx val="7"/>
          <order val="7"/>
          <tx>
            <strRef>
              <f>Wind!$C$64</f>
              <strCache>
                <ptCount val="1"/>
                <pt idx="0">
                  <v>2025</v>
                </pt>
              </strCache>
            </strRef>
          </tx>
          <spPr>
            <a:ln w="28575" cap="rnd">
              <a:solidFill>
                <a:schemeClr val="accent6">
                  <a:lumMod val="40000"/>
                  <a:lumOff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Wind!$D$8:$O$8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Wind!$D$64:$O$64</f>
              <numCache>
                <formatCode>#,##0.00;[Red]\(#,##0.00\);\-</formatCode>
                <ptCount val="12"/>
                <pt idx="0">
                  <v>5.623976</v>
                </pt>
                <pt idx="1">
                  <v>5.135806</v>
                </pt>
                <pt idx="2">
                  <v>5.189425</v>
                </pt>
                <pt idx="3">
                  <v>4.598088</v>
                </pt>
                <pt idx="4">
                  <v>4.6829</v>
                </pt>
                <pt idx="5">
                  <v>4.613909</v>
                </pt>
                <pt idx="6">
                  <v>3.680057</v>
                </pt>
                <pt idx="7">
                  <v>4.538955</v>
                </pt>
                <pt idx="8">
                  <v>4.74447</v>
                </pt>
                <pt idx="9">
                  <v>5.295982</v>
                </pt>
                <pt idx="10">
                  <v>5.106323</v>
                </pt>
                <pt idx="11">
                  <v>5.703945</v>
                </pt>
              </numCache>
            </numRef>
          </val>
          <smooth val="0"/>
        </ser>
        <ser>
          <idx val="8"/>
          <order val="8"/>
          <tx>
            <strRef>
              <f>Wind!$C$65</f>
              <strCache>
                <ptCount val="1"/>
                <pt idx="0">
                  <v>2026</v>
                </pt>
              </strCache>
            </strRef>
          </tx>
          <spPr>
            <a:ln w="28575" cap="rnd">
              <a:solidFill>
                <a:schemeClr val="accent5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bg1"/>
              </a:solidFill>
              <a:ln w="9525">
                <a:solidFill>
                  <a:schemeClr val="accent5">
                    <a:lumMod val="50000"/>
                  </a:schemeClr>
                </a:solidFill>
                <a:prstDash val="solid"/>
              </a:ln>
            </spPr>
          </marker>
          <cat>
            <strRef>
              <f>Wind!$D$8:$O$8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Wind!$D$65:$O$65</f>
              <numCache>
                <formatCode>#,##0.00;[Red]\(#,##0.00\);\-</formatCode>
                <ptCount val="12"/>
                <pt idx="0">
                  <v>5.045156</v>
                </pt>
                <pt idx="1">
                  <v>4.69945</v>
                </pt>
                <pt idx="2">
                  <v>5.432668</v>
                </pt>
                <pt idx="3">
                  <v>4.90128</v>
                </pt>
              </numCache>
            </numRef>
          </val>
          <smooth val="0"/>
        </ser>
        <ser>
          <idx val="9"/>
          <order val="4"/>
          <tx>
            <strRef>
              <f>Wind!$C$66</f>
              <strCache>
                <ptCount val="1"/>
                <pt idx="0">
                  <v>50Y Avg</v>
                </pt>
              </strCache>
            </strRef>
          </tx>
          <spPr>
            <a:ln w="28575" cap="rnd">
              <a:solidFill>
                <a:schemeClr val="accent1">
                  <a:alpha val="58000"/>
                  <a:lumMod val="50000"/>
                </a:schemeClr>
              </a:solidFill>
              <a:prstDash val="sysDot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Wind!$D$8:$O$8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Wind!$D$66:$O$66</f>
              <numCache>
                <formatCode>#,##0.00;[Red]\(#,##0.00\);\-</formatCode>
                <ptCount val="12"/>
                <pt idx="0">
                  <v>5.682203100000002</v>
                </pt>
                <pt idx="1">
                  <v>5.419446579999998</v>
                </pt>
                <pt idx="2">
                  <v>5.16770978</v>
                </pt>
                <pt idx="3">
                  <v>4.619098879999999</v>
                </pt>
                <pt idx="4">
                  <v>4.308890739999999</v>
                </pt>
                <pt idx="5">
                  <v>4.233922660000002</v>
                </pt>
                <pt idx="6">
                  <v>4.045780940000001</v>
                </pt>
                <pt idx="7">
                  <v>4.217354299999998</v>
                </pt>
                <pt idx="8">
                  <v>4.821964099999999</v>
                </pt>
                <pt idx="9">
                  <v>5.3024462</v>
                </pt>
                <pt idx="10">
                  <v>5.440022299999999</v>
                </pt>
                <pt idx="11">
                  <v>5.620455380000001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93614576"/>
        <axId val="993622256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catAx>
        <axId val="99361457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LID4096"/>
          </a:p>
        </txPr>
        <crossAx val="993622256"/>
        <crosses val="autoZero"/>
        <auto val="1"/>
        <lblAlgn val="ctr"/>
        <lblOffset val="100"/>
        <noMultiLvlLbl val="0"/>
      </catAx>
      <valAx>
        <axId val="993622256"/>
        <scaling>
          <orientation val="minMax"/>
          <max val="7"/>
          <min val="3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;[Red]\(#,##0\);\-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LID4096"/>
          </a:p>
        </txPr>
        <crossAx val="993614576"/>
        <crosses val="autoZero"/>
        <crossBetween val="between"/>
        <majorUnit val="1"/>
      </valAx>
    </plotArea>
    <plotVisOnly val="1"/>
    <dispBlanksAs val="gap"/>
  </chart>
  <spPr>
    <a:solidFill>
      <a:schemeClr val="bg1"/>
    </a:solidFill>
    <a:ln w="9525" cap="flat" cmpd="sng" algn="ctr">
      <a:noFill/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5440336236419129"/>
          <y val="0.3337423079483741"/>
          <w val="0.921628268639143"/>
          <h val="0.5346629763840937"/>
        </manualLayout>
      </layout>
      <areaChart>
        <grouping val="stacked"/>
        <varyColors val="0"/>
        <ser>
          <idx val="4"/>
          <order val="0"/>
          <tx>
            <strRef>
              <f>Wind!$C$67</f>
              <strCache>
                <ptCount val="1"/>
                <pt idx="0">
                  <v>Min</v>
                </pt>
              </strCache>
            </strRef>
          </tx>
          <spPr>
            <a:noFill/>
            <a:ln>
              <a:noFill/>
              <a:prstDash val="solid"/>
            </a:ln>
          </spPr>
          <cat>
            <strRef>
              <f>Wind!$D$8:$O$8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Wind!$D$67:$O$67</f>
              <numCache>
                <formatCode>#,##0.00;[Red]\(#,##0.00\);\-</formatCode>
                <ptCount val="12"/>
                <pt idx="0">
                  <v>4.828815</v>
                </pt>
                <pt idx="1">
                  <v>4.446784</v>
                </pt>
                <pt idx="2">
                  <v>4.348729</v>
                </pt>
                <pt idx="3">
                  <v>4.101037</v>
                </pt>
                <pt idx="4">
                  <v>3.784073</v>
                </pt>
                <pt idx="5">
                  <v>3.763991</v>
                </pt>
                <pt idx="6">
                  <v>3.490097</v>
                </pt>
                <pt idx="7">
                  <v>3.596812</v>
                </pt>
                <pt idx="8">
                  <v>4.229931</v>
                </pt>
                <pt idx="9">
                  <v>4.791058</v>
                </pt>
                <pt idx="10">
                  <v>4.688792</v>
                </pt>
                <pt idx="11">
                  <v>4.760631</v>
                </pt>
              </numCache>
            </numRef>
          </val>
        </ser>
        <ser>
          <idx val="5"/>
          <order val="1"/>
          <tx>
            <strRef>
              <f>Wind!$C$68</f>
              <strCache>
                <ptCount val="1"/>
                <pt idx="0">
                  <v>50Y Range</v>
                </pt>
              </strCache>
            </strRef>
          </tx>
          <spPr>
            <a:solidFill>
              <a:schemeClr val="accent1">
                <a:lumMod val="20000"/>
                <a:lumOff val="80000"/>
              </a:schemeClr>
            </a:solidFill>
            <a:ln>
              <a:noFill/>
              <a:prstDash val="solid"/>
            </a:ln>
          </spPr>
          <cat>
            <strRef>
              <f>Wind!$D$8:$O$8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Wind!$D$68:$O$68</f>
              <numCache>
                <formatCode>#,##0.00;[Red]\(#,##0.00\);\-</formatCode>
                <ptCount val="12"/>
                <pt idx="0">
                  <v>2.296373</v>
                </pt>
                <pt idx="1">
                  <v>2.204807</v>
                </pt>
                <pt idx="2">
                  <v>2.168726</v>
                </pt>
                <pt idx="3">
                  <v>1.330533</v>
                </pt>
                <pt idx="4">
                  <v>0.9486780000000006</v>
                </pt>
                <pt idx="5">
                  <v>1.072752</v>
                </pt>
                <pt idx="6">
                  <v>0.8846640000000003</v>
                </pt>
                <pt idx="7">
                  <v>1.054078000000001</v>
                </pt>
                <pt idx="8">
                  <v>1.30944</v>
                </pt>
                <pt idx="9">
                  <v>1.479863000000001</v>
                </pt>
                <pt idx="10">
                  <v>1.784339999999999</v>
                </pt>
                <pt idx="11">
                  <v>1.713453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lineChart>
        <grouping val="standard"/>
        <varyColors val="0"/>
        <ser>
          <idx val="6"/>
          <order val="6"/>
          <tx>
            <strRef>
              <f>Wind!$C$63</f>
              <strCache>
                <ptCount val="1"/>
                <pt idx="0">
                  <v>2024</v>
                </pt>
              </strCache>
            </strRef>
          </tx>
          <spPr>
            <a:ln w="28575" cap="rnd">
              <a:solidFill>
                <a:schemeClr val="accent5">
                  <a:lumMod val="40000"/>
                  <a:lumOff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Wind!$D$8:$O$8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Wind!$D$63:$O$63</f>
              <numCache>
                <formatCode>#,##0.00;[Red]\(#,##0.00\);\-</formatCode>
                <ptCount val="12"/>
                <pt idx="0">
                  <v>5.940959</v>
                </pt>
                <pt idx="1">
                  <v>5.475647</v>
                </pt>
                <pt idx="2">
                  <v>4.553717</v>
                </pt>
                <pt idx="3">
                  <v>4.762125</v>
                </pt>
                <pt idx="4">
                  <v>3.904403</v>
                </pt>
                <pt idx="5">
                  <v>4.31655</v>
                </pt>
                <pt idx="6">
                  <v>3.873881</v>
                </pt>
                <pt idx="7">
                  <v>4.622899</v>
                </pt>
                <pt idx="8">
                  <v>4.729383</v>
                </pt>
                <pt idx="9">
                  <v>5.439469</v>
                </pt>
                <pt idx="10">
                  <v>5.864489</v>
                </pt>
                <pt idx="11">
                  <v>6.168306</v>
                </pt>
              </numCache>
            </numRef>
          </val>
          <smooth val="0"/>
        </ser>
        <ser>
          <idx val="7"/>
          <order val="7"/>
          <tx>
            <strRef>
              <f>Wind!$C$64</f>
              <strCache>
                <ptCount val="1"/>
                <pt idx="0">
                  <v>2025</v>
                </pt>
              </strCache>
            </strRef>
          </tx>
          <spPr>
            <a:ln w="28575" cap="rnd">
              <a:solidFill>
                <a:schemeClr val="accent6">
                  <a:lumMod val="5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Wind!$D$8:$O$8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Wind!$D$64:$O$64</f>
              <numCache>
                <formatCode>#,##0.00;[Red]\(#,##0.00\);\-</formatCode>
                <ptCount val="12"/>
                <pt idx="0">
                  <v>5.623976</v>
                </pt>
                <pt idx="1">
                  <v>5.135806</v>
                </pt>
                <pt idx="2">
                  <v>5.189425</v>
                </pt>
                <pt idx="3">
                  <v>4.598088</v>
                </pt>
                <pt idx="4">
                  <v>4.6829</v>
                </pt>
                <pt idx="5">
                  <v>4.613909</v>
                </pt>
                <pt idx="6">
                  <v>3.680057</v>
                </pt>
                <pt idx="7">
                  <v>4.538955</v>
                </pt>
                <pt idx="8">
                  <v>4.74447</v>
                </pt>
                <pt idx="9">
                  <v>5.295982</v>
                </pt>
                <pt idx="10">
                  <v>5.106323</v>
                </pt>
                <pt idx="11">
                  <v>5.703945</v>
                </pt>
              </numCache>
            </numRef>
          </val>
          <smooth val="0"/>
        </ser>
        <ser>
          <idx val="8"/>
          <order val="8"/>
          <tx>
            <strRef>
              <f>Wind!$C$65</f>
              <strCache>
                <ptCount val="1"/>
                <pt idx="0">
                  <v>2026</v>
                </pt>
              </strCache>
            </strRef>
          </tx>
          <spPr>
            <a:ln w="28575" cap="rnd">
              <a:solidFill>
                <a:schemeClr val="accent5">
                  <a:lumMod val="5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Wind!$D$8:$O$8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Wind!$D$65:$O$65</f>
              <numCache>
                <formatCode>#,##0.00;[Red]\(#,##0.00\);\-</formatCode>
                <ptCount val="12"/>
                <pt idx="0">
                  <v>5.045156</v>
                </pt>
                <pt idx="1">
                  <v>4.69945</v>
                </pt>
                <pt idx="2">
                  <v>5.432668</v>
                </pt>
                <pt idx="3">
                  <v>4.90128</v>
                </pt>
              </numCache>
            </numRef>
          </val>
          <smooth val="0"/>
        </ser>
        <ser>
          <idx val="9"/>
          <order val="4"/>
          <tx>
            <strRef>
              <f>Wind!$C$66</f>
              <strCache>
                <ptCount val="1"/>
                <pt idx="0">
                  <v>50Y Avg</v>
                </pt>
              </strCache>
            </strRef>
          </tx>
          <spPr>
            <a:ln w="28575" cap="rnd">
              <a:solidFill>
                <a:schemeClr val="accent1">
                  <a:alpha val="58000"/>
                  <a:lumMod val="50000"/>
                </a:schemeClr>
              </a:solidFill>
              <a:prstDash val="sysDot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Wind!$D$8:$O$8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Wind!$D$66:$O$66</f>
              <numCache>
                <formatCode>#,##0.00;[Red]\(#,##0.00\);\-</formatCode>
                <ptCount val="12"/>
                <pt idx="0">
                  <v>5.682203100000002</v>
                </pt>
                <pt idx="1">
                  <v>5.419446579999998</v>
                </pt>
                <pt idx="2">
                  <v>5.16770978</v>
                </pt>
                <pt idx="3">
                  <v>4.619098879999999</v>
                </pt>
                <pt idx="4">
                  <v>4.308890739999999</v>
                </pt>
                <pt idx="5">
                  <v>4.233922660000002</v>
                </pt>
                <pt idx="6">
                  <v>4.045780940000001</v>
                </pt>
                <pt idx="7">
                  <v>4.217354299999998</v>
                </pt>
                <pt idx="8">
                  <v>4.821964099999999</v>
                </pt>
                <pt idx="9">
                  <v>5.3024462</v>
                </pt>
                <pt idx="10">
                  <v>5.440022299999999</v>
                </pt>
                <pt idx="11">
                  <v>5.620455380000001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93614576"/>
        <axId val="993622256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catAx>
        <axId val="99361457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LID4096"/>
          </a:p>
        </txPr>
        <crossAx val="993622256"/>
        <crosses val="autoZero"/>
        <auto val="1"/>
        <lblAlgn val="ctr"/>
        <lblOffset val="100"/>
        <noMultiLvlLbl val="0"/>
      </catAx>
      <valAx>
        <axId val="993622256"/>
        <scaling>
          <orientation val="minMax"/>
          <max val="7"/>
          <min val="3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;[Red]\(#,##0\);\-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LID4096"/>
          </a:p>
        </txPr>
        <crossAx val="993614576"/>
        <crosses val="autoZero"/>
        <crossBetween val="between"/>
        <majorUnit val="1"/>
      </valAx>
    </plotArea>
    <legend>
      <legendPos val="t"/>
      <legendEntry>
        <idx val="4"/>
        <delete val="1"/>
      </legendEntry>
      <layout>
        <manualLayout>
          <xMode val="edge"/>
          <yMode val="edge"/>
          <wMode val="factor"/>
          <hMode val="factor"/>
          <x val="0.1265822386717237"/>
          <y val="0.04831607080016359"/>
          <w val="0.8734177613282763"/>
          <h val="0.1660505707296184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CH"/>
        </a:p>
      </txPr>
    </legend>
    <plotVisOnly val="1"/>
    <dispBlanksAs val="gap"/>
  </chart>
  <spPr>
    <a:solidFill>
      <a:schemeClr val="bg1"/>
    </a:solidFill>
    <a:ln w="9525" cap="flat" cmpd="sng" algn="ctr">
      <a:noFill/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5440336236419129"/>
          <y val="0.05092592592592592"/>
          <w val="0.921628268639143"/>
          <h val="0.8648227925080607"/>
        </manualLayout>
      </layout>
      <areaChart>
        <grouping val="stacked"/>
        <varyColors val="0"/>
        <ser>
          <idx val="4"/>
          <order val="0"/>
          <tx>
            <strRef>
              <f>Rain!$C$67</f>
              <strCache>
                <ptCount val="1"/>
                <pt idx="0">
                  <v>Min</v>
                </pt>
              </strCache>
            </strRef>
          </tx>
          <spPr>
            <a:noFill/>
            <a:ln>
              <a:noFill/>
              <a:prstDash val="solid"/>
            </a:ln>
          </spPr>
          <cat>
            <strRef>
              <f>Rain!$D$8:$O$8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Rain!$D$67:$O$67</f>
              <numCache>
                <formatCode>#,##0.00;[Red]\(#,##0.00\);\-</formatCode>
                <ptCount val="12"/>
                <pt idx="0">
                  <v>1.047064</v>
                </pt>
                <pt idx="1">
                  <v>0.938586</v>
                </pt>
                <pt idx="2">
                  <v>0.9423313</v>
                </pt>
                <pt idx="3">
                  <v>0.7374113</v>
                </pt>
                <pt idx="4">
                  <v>0.9990391</v>
                </pt>
                <pt idx="5">
                  <v>1.252439</v>
                </pt>
                <pt idx="6">
                  <v>1.135786</v>
                </pt>
                <pt idx="7">
                  <v>1.499165</v>
                </pt>
                <pt idx="8">
                  <v>1.805258</v>
                </pt>
                <pt idx="9">
                  <v>1.66042</v>
                </pt>
                <pt idx="10">
                  <v>1.231627</v>
                </pt>
                <pt idx="11">
                  <v>1.369114</v>
                </pt>
              </numCache>
            </numRef>
          </val>
        </ser>
        <ser>
          <idx val="5"/>
          <order val="1"/>
          <tx>
            <strRef>
              <f>Rain!$C$68</f>
              <strCache>
                <ptCount val="1"/>
                <pt idx="0">
                  <v>50Y Range</v>
                </pt>
              </strCache>
            </strRef>
          </tx>
          <spPr>
            <a:solidFill>
              <a:schemeClr val="accent1">
                <a:lumMod val="20000"/>
                <a:lumOff val="80000"/>
              </a:schemeClr>
            </a:solidFill>
            <a:ln>
              <a:noFill/>
              <a:prstDash val="solid"/>
            </a:ln>
          </spPr>
          <cat>
            <strRef>
              <f>Rain!$D$8:$O$8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Rain!$D$68:$O$68</f>
              <numCache>
                <formatCode>#,##0.00;[Red]\(#,##0.00\);\-</formatCode>
                <ptCount val="12"/>
                <pt idx="0">
                  <v>2.564987</v>
                </pt>
                <pt idx="1">
                  <v>2.762707</v>
                </pt>
                <pt idx="2">
                  <v>1.9689317</v>
                </pt>
                <pt idx="3">
                  <v>1.9338657</v>
                </pt>
                <pt idx="4">
                  <v>1.8154779</v>
                </pt>
                <pt idx="5">
                  <v>2.186814</v>
                </pt>
                <pt idx="6">
                  <v>2.598601</v>
                </pt>
                <pt idx="7">
                  <v>2.357968</v>
                </pt>
                <pt idx="8">
                  <v>2.064644</v>
                </pt>
                <pt idx="9">
                  <v>2.313543</v>
                </pt>
                <pt idx="10">
                  <v>2.262832</v>
                </pt>
                <pt idx="11">
                  <v>2.149702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lineChart>
        <grouping val="standard"/>
        <varyColors val="0"/>
        <ser>
          <idx val="6"/>
          <order val="6"/>
          <tx>
            <strRef>
              <f>Rain!$C$63</f>
              <strCache>
                <ptCount val="1"/>
                <pt idx="0">
                  <v>2024</v>
                </pt>
              </strCache>
            </strRef>
          </tx>
          <spPr>
            <a:ln w="28575" cap="rnd">
              <a:solidFill>
                <a:schemeClr val="accent6">
                  <a:lumMod val="40000"/>
                  <a:lumOff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Rain!$D$8:$O$8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Rain!$D$63:$O$63</f>
              <numCache>
                <formatCode>#,##0.00;[Red]\(#,##0.00\);\-</formatCode>
                <ptCount val="12"/>
                <pt idx="0">
                  <v>2.764838</v>
                </pt>
                <pt idx="1">
                  <v>2.883959</v>
                </pt>
                <pt idx="2">
                  <v>1.735506</v>
                </pt>
                <pt idx="3">
                  <v>2.37406</v>
                </pt>
                <pt idx="4">
                  <v>1.117819</v>
                </pt>
                <pt idx="5">
                  <v>2.987141</v>
                </pt>
                <pt idx="6">
                  <v>3.470335</v>
                </pt>
                <pt idx="7">
                  <v>3.252339</v>
                </pt>
                <pt idx="8">
                  <v>2.776619</v>
                </pt>
                <pt idx="9">
                  <v>3.179349</v>
                </pt>
                <pt idx="10">
                  <v>2.966798</v>
                </pt>
                <pt idx="11">
                  <v>3.322925</v>
                </pt>
              </numCache>
            </numRef>
          </val>
          <smooth val="0"/>
        </ser>
        <ser>
          <idx val="7"/>
          <order val="7"/>
          <tx>
            <strRef>
              <f>Rain!$C$64</f>
              <strCache>
                <ptCount val="1"/>
                <pt idx="0">
                  <v>2025</v>
                </pt>
              </strCache>
            </strRef>
          </tx>
          <spPr>
            <a:ln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Rain!$D$8:$O$8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Rain!$D$64:$O$64</f>
              <numCache>
                <formatCode>#,##0.00;[Red]\(#,##0.00\);\-</formatCode>
                <ptCount val="12"/>
                <pt idx="0">
                  <v>3.058613</v>
                </pt>
                <pt idx="1">
                  <v>1.605562</v>
                </pt>
                <pt idx="2">
                  <v>2.21342</v>
                </pt>
                <pt idx="3">
                  <v>1.727313</v>
                </pt>
                <pt idx="4">
                  <v>2.084572</v>
                </pt>
                <pt idx="5">
                  <v>2.953224</v>
                </pt>
                <pt idx="6">
                  <v>2.615131</v>
                </pt>
                <pt idx="7">
                  <v>2.991304</v>
                </pt>
                <pt idx="8">
                  <v>2.890812</v>
                </pt>
                <pt idx="9">
                  <v>3.292037</v>
                </pt>
                <pt idx="10">
                  <v>3.029938</v>
                </pt>
                <pt idx="11">
                  <v>2.815372</v>
                </pt>
              </numCache>
            </numRef>
          </val>
          <smooth val="0"/>
        </ser>
        <ser>
          <idx val="8"/>
          <order val="8"/>
          <tx>
            <strRef>
              <f>Rain!$C$65</f>
              <strCache>
                <ptCount val="1"/>
                <pt idx="0">
                  <v>2026</v>
                </pt>
              </strCache>
            </strRef>
          </tx>
          <spPr>
            <a:ln w="28575" cap="rnd">
              <a:solidFill>
                <a:schemeClr val="accent6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bg1"/>
              </a:solidFill>
              <a:ln w="9525">
                <a:solidFill>
                  <a:srgbClr val="3366BB"/>
                </a:solidFill>
                <a:prstDash val="solid"/>
              </a:ln>
            </spPr>
          </marker>
          <cat>
            <strRef>
              <f>Rain!$D$8:$O$8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Rain!$D$65:$O$65</f>
              <numCache>
                <formatCode>#,##0.00;[Red]\(#,##0.00\);\-</formatCode>
                <ptCount val="12"/>
                <pt idx="0">
                  <v>1.503</v>
                </pt>
                <pt idx="1">
                  <v>1.641</v>
                </pt>
                <pt idx="2">
                  <v>2.299</v>
                </pt>
                <pt idx="3">
                  <v>1.247521</v>
                </pt>
              </numCache>
            </numRef>
          </val>
          <smooth val="0"/>
        </ser>
        <ser>
          <idx val="9"/>
          <order val="4"/>
          <tx>
            <strRef>
              <f>Rain!$C$66</f>
              <strCache>
                <ptCount val="1"/>
                <pt idx="0">
                  <v>50Y Avg</v>
                </pt>
              </strCache>
            </strRef>
          </tx>
          <spPr>
            <a:ln w="28575" cap="rnd">
              <a:solidFill>
                <a:schemeClr val="accent1">
                  <a:alpha val="58000"/>
                  <a:lumMod val="50000"/>
                </a:schemeClr>
              </a:solidFill>
              <a:prstDash val="sysDash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Rain!$D$8:$O$8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Rain!$D$66:$O$66</f>
              <numCache>
                <formatCode>#,##0.00;[Red]\(#,##0.00\);\-</formatCode>
                <ptCount val="12"/>
                <pt idx="0">
                  <v>2.539167899999999</v>
                </pt>
                <pt idx="1">
                  <v>2.19885</v>
                </pt>
                <pt idx="2">
                  <v>2.025248866</v>
                </pt>
                <pt idx="3">
                  <v>1.774891266</v>
                </pt>
                <pt idx="4">
                  <v>1.872608861999999</v>
                </pt>
                <pt idx="5">
                  <v>2.40025714</v>
                </pt>
                <pt idx="6">
                  <v>2.68382392</v>
                </pt>
                <pt idx="7">
                  <v>2.84550322</v>
                </pt>
                <pt idx="8">
                  <v>2.833935640000001</v>
                </pt>
                <pt idx="9">
                  <v>2.91974672</v>
                </pt>
                <pt idx="10">
                  <v>2.78377982</v>
                </pt>
                <pt idx="11">
                  <v>2.662729320000001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93614576"/>
        <axId val="993622256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catAx>
        <axId val="99361457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LID4096"/>
          </a:p>
        </txPr>
        <crossAx val="993622256"/>
        <crosses val="autoZero"/>
        <auto val="1"/>
        <lblAlgn val="ctr"/>
        <lblOffset val="100"/>
        <noMultiLvlLbl val="0"/>
      </catAx>
      <valAx>
        <axId val="993622256"/>
        <scaling>
          <orientation val="minMax"/>
          <max val="4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;[Red]\(#,##0\);\-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LID4096"/>
          </a:p>
        </txPr>
        <crossAx val="993614576"/>
        <crosses val="autoZero"/>
        <crossBetween val="between"/>
        <majorUnit val="1"/>
      </valAx>
    </plotArea>
    <plotVisOnly val="1"/>
    <dispBlanksAs val="gap"/>
  </chart>
  <spPr>
    <a:solidFill>
      <a:schemeClr val="bg1"/>
    </a:solidFill>
    <a:ln w="9525" cap="flat" cmpd="sng" algn="ctr">
      <a:noFill/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8472037055272855"/>
          <y val="0.05092592592592592"/>
          <w val="0.9085456329782904"/>
          <h val="0.8648228346456693"/>
        </manualLayout>
      </layout>
      <areaChart>
        <grouping val="stacked"/>
        <varyColors val="0"/>
        <ser>
          <idx val="4"/>
          <order val="0"/>
          <tx>
            <strRef>
              <f>Temp!$C$67</f>
              <strCache>
                <ptCount val="1"/>
                <pt idx="0">
                  <v>Min</v>
                </pt>
              </strCache>
            </strRef>
          </tx>
          <spPr>
            <a:noFill/>
            <a:ln>
              <a:noFill/>
              <a:prstDash val="solid"/>
            </a:ln>
          </spPr>
          <cat>
            <strRef>
              <f>Temp!$D$8:$O$8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Temp!$D$67:$O$67</f>
              <numCache>
                <formatCode>#,##0.00;[Red]\(#,##0.00\);\-</formatCode>
                <ptCount val="12"/>
                <pt idx="0">
                  <v>-11.32181</v>
                </pt>
                <pt idx="1">
                  <v>-11.02835</v>
                </pt>
                <pt idx="2">
                  <v>-4.990509</v>
                </pt>
                <pt idx="3">
                  <v>0.7146301</v>
                </pt>
                <pt idx="4">
                  <v>6.063354</v>
                </pt>
                <pt idx="5">
                  <v>9.639435000000001</v>
                </pt>
                <pt idx="6">
                  <v>12.89313</v>
                </pt>
                <pt idx="7">
                  <v>11.27313</v>
                </pt>
                <pt idx="8">
                  <v>7.143036</v>
                </pt>
                <pt idx="9">
                  <v>1.170105</v>
                </pt>
                <pt idx="10">
                  <v>-2.221771</v>
                </pt>
                <pt idx="11">
                  <v>-8.500061000000001</v>
                </pt>
              </numCache>
            </numRef>
          </val>
        </ser>
        <ser>
          <idx val="5"/>
          <order val="1"/>
          <tx>
            <strRef>
              <f>Temp!$C$68</f>
              <strCache>
                <ptCount val="1"/>
                <pt idx="0">
                  <v>50Y Range</v>
                </pt>
              </strCache>
            </strRef>
          </tx>
          <spPr>
            <a:solidFill>
              <a:schemeClr val="accent1">
                <a:lumMod val="20000"/>
                <a:lumOff val="80000"/>
              </a:schemeClr>
            </a:solidFill>
            <a:ln>
              <a:noFill/>
              <a:prstDash val="solid"/>
            </a:ln>
          </spPr>
          <cat>
            <strRef>
              <f>Temp!$D$8:$O$8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Temp!$D$68:$O$68</f>
              <numCache>
                <formatCode>#,##0.00;[Red]\(#,##0.00\);\-</formatCode>
                <ptCount val="12"/>
                <pt idx="0">
                  <v>12.473696</v>
                </pt>
                <pt idx="1">
                  <v>12.930938</v>
                </pt>
                <pt idx="2">
                  <v>7.268799</v>
                </pt>
                <pt idx="3">
                  <v>4.2785949</v>
                </pt>
                <pt idx="4">
                  <v>5.050295999999999</v>
                </pt>
                <pt idx="5">
                  <v>4.914214999999999</v>
                </pt>
                <pt idx="6">
                  <v>4.598749999999999</v>
                </pt>
                <pt idx="7">
                  <v>5.21692</v>
                </pt>
                <pt idx="8">
                  <v>5.641634</v>
                </pt>
                <pt idx="9">
                  <v>6.965149</v>
                </pt>
                <pt idx="10">
                  <v>6.558899</v>
                </pt>
                <pt idx="11">
                  <v>11.090607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lineChart>
        <grouping val="standard"/>
        <varyColors val="0"/>
        <ser>
          <idx val="6"/>
          <order val="6"/>
          <tx>
            <strRef>
              <f>Temp!$C$63</f>
              <strCache>
                <ptCount val="1"/>
                <pt idx="0">
                  <v>2024</v>
                </pt>
              </strCache>
            </strRef>
          </tx>
          <spPr>
            <a:ln w="28575" cap="rnd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Temp!$D$8:$O$8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Temp!$D$63:$O$63</f>
              <numCache>
                <formatCode>#,##0.00;[Red]\(#,##0.00\);\-</formatCode>
                <ptCount val="12"/>
                <pt idx="0">
                  <v>-5.067169</v>
                </pt>
                <pt idx="1">
                  <v>-2.137665</v>
                </pt>
                <pt idx="2">
                  <v>0.9006958</v>
                </pt>
                <pt idx="3">
                  <v>2.790619</v>
                </pt>
                <pt idx="4">
                  <v>10.45737</v>
                </pt>
                <pt idx="5">
                  <v>13.68198</v>
                </pt>
                <pt idx="6">
                  <v>15.84418</v>
                </pt>
                <pt idx="7">
                  <v>15.71945</v>
                </pt>
                <pt idx="8">
                  <v>12.50296</v>
                </pt>
                <pt idx="9">
                  <v>6.967133</v>
                </pt>
                <pt idx="10">
                  <v>2.587494</v>
                </pt>
                <pt idx="11">
                  <v>-0.1215515</v>
                </pt>
              </numCache>
            </numRef>
          </val>
          <smooth val="0"/>
        </ser>
        <ser>
          <idx val="7"/>
          <order val="7"/>
          <tx>
            <strRef>
              <f>Temp!$C$64</f>
              <strCache>
                <ptCount val="1"/>
                <pt idx="0">
                  <v>2025</v>
                </pt>
              </strCache>
            </strRef>
          </tx>
          <spPr>
            <a:ln w="28575" cap="rnd">
              <a:solidFill>
                <a:schemeClr val="accent6">
                  <a:lumMod val="40000"/>
                  <a:lumOff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Temp!$D$8:$O$8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Temp!$D$64:$O$64</f>
              <numCache>
                <formatCode>#,##0.00;[Red]\(#,##0.00\);\-</formatCode>
                <ptCount val="12"/>
                <pt idx="0">
                  <v>-1.488739</v>
                </pt>
                <pt idx="1">
                  <v>-1.357422</v>
                </pt>
                <pt idx="2">
                  <v>1.576233</v>
                </pt>
                <pt idx="3">
                  <v>4.381409</v>
                </pt>
                <pt idx="4">
                  <v>7.751556</v>
                </pt>
                <pt idx="5">
                  <v>11.96655</v>
                </pt>
                <pt idx="6">
                  <v>16.98703</v>
                </pt>
                <pt idx="7">
                  <v>14.21835</v>
                </pt>
                <pt idx="8">
                  <v>12.65308</v>
                </pt>
                <pt idx="9">
                  <v>7.105499</v>
                </pt>
                <pt idx="10">
                  <v>2.021027</v>
                </pt>
                <pt idx="11">
                  <v>1.203491</v>
                </pt>
              </numCache>
            </numRef>
          </val>
          <smooth val="0"/>
        </ser>
        <ser>
          <idx val="8"/>
          <order val="8"/>
          <tx>
            <strRef>
              <f>Temp!$C$65</f>
              <strCache>
                <ptCount val="1"/>
                <pt idx="0">
                  <v>2026</v>
                </pt>
              </strCache>
            </strRef>
          </tx>
          <spPr>
            <a:ln w="28575" cap="rnd">
              <a:solidFill>
                <a:schemeClr val="accent5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bg1"/>
              </a:solidFill>
              <a:ln w="9525">
                <a:solidFill>
                  <a:srgbClr val="3366BB"/>
                </a:solidFill>
                <a:prstDash val="solid"/>
              </a:ln>
            </spPr>
          </marker>
          <cat>
            <strRef>
              <f>Temp!$D$8:$O$8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Temp!$D$65:$O$65</f>
              <numCache>
                <formatCode>#,##0.00;[Red]\(#,##0.00\);\-</formatCode>
                <ptCount val="12"/>
                <pt idx="0">
                  <v>-6.496124</v>
                </pt>
                <pt idx="1">
                  <v>-6.506256</v>
                </pt>
                <pt idx="2">
                  <v>2.930847</v>
                </pt>
                <pt idx="3">
                  <v>4.437531</v>
                </pt>
              </numCache>
            </numRef>
          </val>
          <smooth val="0"/>
        </ser>
        <ser>
          <idx val="9"/>
          <order val="4"/>
          <tx>
            <strRef>
              <f>Temp!$C$66</f>
              <strCache>
                <ptCount val="1"/>
                <pt idx="0">
                  <v>50YAvg</v>
                </pt>
              </strCache>
            </strRef>
          </tx>
          <spPr>
            <a:ln w="28575" cap="rnd">
              <a:solidFill>
                <a:schemeClr val="accent1">
                  <a:alpha val="58000"/>
                  <a:lumMod val="50000"/>
                </a:schemeClr>
              </a:solidFill>
              <a:prstDash val="sysDot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Temp!$D$8:$O$8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Temp!$D$66:$O$66</f>
              <numCache>
                <formatCode>#,##0.00;[Red]\(#,##0.00\);\-</formatCode>
                <ptCount val="12"/>
                <pt idx="0">
                  <v>-3.746547320000001</v>
                </pt>
                <pt idx="1">
                  <v>-3.6736620916</v>
                </pt>
                <pt idx="2">
                  <v>-0.9865032476000001</v>
                </pt>
                <pt idx="3">
                  <v>2.959398163999999</v>
                </pt>
                <pt idx="4">
                  <v>7.830552519999998</v>
                </pt>
                <pt idx="5">
                  <v>12.03104706</v>
                </pt>
                <pt idx="6">
                  <v>14.7456944</v>
                </pt>
                <pt idx="7">
                  <v>13.9671166</v>
                </pt>
                <pt idx="8">
                  <v>10.20234624</v>
                </pt>
                <pt idx="9">
                  <v>5.51393926</v>
                </pt>
                <pt idx="10">
                  <v>1.1314904942</v>
                </pt>
                <pt idx="11">
                  <v>-2.0800298934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93614576"/>
        <axId val="993622256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catAx>
        <axId val="99361457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LID4096"/>
          </a:p>
        </txPr>
        <crossAx val="993622256"/>
        <crosses val="autoZero"/>
        <auto val="1"/>
        <lblAlgn val="ctr"/>
        <lblOffset val="100"/>
        <noMultiLvlLbl val="0"/>
      </catAx>
      <valAx>
        <axId val="993622256"/>
        <scaling>
          <orientation val="minMax"/>
          <max val="20"/>
          <min val="-1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;[Red]\(#,##0\);\-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LID4096"/>
          </a:p>
        </txPr>
        <crossAx val="99361457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noFill/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stacked"/>
        <varyColors val="0"/>
        <ser>
          <idx val="2"/>
          <order val="0"/>
          <tx>
            <strRef>
              <f>Sum!$E$3</f>
              <strCache>
                <ptCount val="1"/>
                <pt idx="0">
                  <v>Min</v>
                </pt>
              </strCache>
            </strRef>
          </tx>
          <spPr>
            <a:noFill/>
            <a:ln>
              <a:noFill/>
              <a:prstDash val="solid"/>
            </a:ln>
          </spPr>
          <invertIfNegative val="0"/>
          <cat>
            <strRef>
              <f>Sum!$B$4</f>
              <strCache>
                <ptCount val="1"/>
                <pt idx="0">
                  <v>Wind
(m/s)</v>
                </pt>
              </strCache>
            </strRef>
          </cat>
          <val>
            <numRef>
              <f>Sum!$E$4</f>
              <numCache>
                <formatCode>#,##0;[Red]\(#,##0\);\-</formatCode>
                <ptCount val="1"/>
                <pt idx="0">
                  <v>4.101037</v>
                </pt>
              </numCache>
            </numRef>
          </val>
        </ser>
        <ser>
          <idx val="3"/>
          <order val="1"/>
          <tx>
            <strRef>
              <f>Sum!$F$3</f>
              <strCache>
                <ptCount val="1"/>
                <pt idx="0">
                  <v>50Y Range</v>
                </pt>
              </strCache>
            </strRef>
          </tx>
          <spPr>
            <a:solidFill>
              <a:srgbClr val="E67B00"/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>
                <a:srgbClr val="E67B00"/>
              </a:solidFill>
              <a:ln>
                <a:noFill/>
                <a:prstDash val="solid"/>
              </a:ln>
            </spPr>
          </dPt>
          <cat>
            <strRef>
              <f>Sum!$B$4</f>
              <strCache>
                <ptCount val="1"/>
                <pt idx="0">
                  <v>Wind
(m/s)</v>
                </pt>
              </strCache>
            </strRef>
          </cat>
          <val>
            <numRef>
              <f>Sum!$F$4</f>
              <numCache>
                <formatCode>#,##0;[Red]\(#,##0\);\-</formatCode>
                <ptCount val="1"/>
                <pt idx="0">
                  <v>1.330533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89"/>
        <overlap val="100"/>
        <axId val="311609632"/>
        <axId val="311617312"/>
      </barChart>
      <lineChart>
        <grouping val="standard"/>
        <varyColors val="0"/>
        <ser>
          <idx val="4"/>
          <order val="4"/>
          <tx>
            <strRef>
              <f>Sum!$C$3</f>
              <strCache>
                <ptCount val="1"/>
                <pt idx="0">
                  <v>01-Apr-26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15"/>
            <spPr>
              <a:solidFill>
                <a:srgbClr val="FFFFFF"/>
              </a:solidFill>
              <a:ln w="9525">
                <a:noFill/>
                <a:prstDash val="solid"/>
              </a:ln>
            </spPr>
          </marker>
          <cat>
            <strRef>
              <f>Sum!$B$4</f>
              <strCache>
                <ptCount val="1"/>
                <pt idx="0">
                  <v>Wind
(m/s)</v>
                </pt>
              </strCache>
            </strRef>
          </cat>
          <val>
            <numRef>
              <f>Sum!$C$4</f>
              <numCache>
                <formatCode>#,##0;[Red]\(#,##0\);\-</formatCode>
                <ptCount val="1"/>
                <pt idx="0">
                  <v>4.90128</v>
                </pt>
              </numCache>
            </numRef>
          </val>
          <smooth val="0"/>
        </ser>
        <ser>
          <idx val="5"/>
          <order val="5"/>
          <tx>
            <strRef>
              <f>Sum!$D$3</f>
              <strCache>
                <ptCount val="1"/>
                <pt idx="0">
                  <v>50Y Avg</v>
                </pt>
              </strCache>
            </strRef>
          </tx>
          <spPr>
            <a:ln w="50800" cap="rnd">
              <a:noFill/>
              <a:prstDash val="solid"/>
              <a:round/>
            </a:ln>
          </spPr>
          <marker>
            <symbol val="dash"/>
            <size val="30"/>
            <spPr>
              <a:solidFill>
                <a:srgbClr val="F9B516"/>
              </a:solidFill>
              <a:ln w="9525">
                <a:noFill/>
                <a:prstDash val="solid"/>
              </a:ln>
            </spPr>
          </marker>
          <cat>
            <strRef>
              <f>Sum!$B$4</f>
              <strCache>
                <ptCount val="1"/>
                <pt idx="0">
                  <v>Wind
(m/s)</v>
                </pt>
              </strCache>
            </strRef>
          </cat>
          <val>
            <numRef>
              <f>Sum!$D$4</f>
              <numCache>
                <formatCode>#,##0;[Red]\(#,##0\);\-</formatCode>
                <ptCount val="1"/>
                <pt idx="0">
                  <v>4.619098879999999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11609632"/>
        <axId val="311617312"/>
      </lineChart>
      <catAx>
        <axId val="311609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spPr>
          <a:noFill/>
          <a:ln w="9525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LID4096"/>
          </a:p>
        </txPr>
        <crossAx val="311617312"/>
        <crosses val="autoZero"/>
        <auto val="1"/>
        <lblAlgn val="ctr"/>
        <lblOffset val="100"/>
        <noMultiLvlLbl val="0"/>
      </catAx>
      <valAx>
        <axId val="311617312"/>
        <scaling>
          <orientation val="minMax"/>
          <min val="4"/>
        </scaling>
        <delete val="0"/>
        <axPos val="l"/>
        <majorGridlines>
          <spPr>
            <a:ln w="9525" cap="flat" cmpd="sng" algn="ctr">
              <a:solidFill>
                <a:srgbClr val="00A3E3"/>
              </a:solidFill>
              <a:prstDash val="solid"/>
              <a:round/>
            </a:ln>
          </spPr>
        </majorGridlines>
        <numFmt formatCode="#,##0;[Red]\(#,##0\);\-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LID4096"/>
          </a:p>
        </txPr>
        <crossAx val="311609632"/>
        <crosses val="autoZero"/>
        <crossBetween val="between"/>
        <majorUnit val="1"/>
      </valAx>
    </plotArea>
    <plotVisOnly val="1"/>
    <dispBlanksAs val="gap"/>
  </chart>
  <spPr>
    <a:noFill/>
    <a:ln w="9525" cap="flat" cmpd="sng" algn="ctr">
      <a:noFill/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stacked"/>
        <varyColors val="0"/>
        <ser>
          <idx val="2"/>
          <order val="0"/>
          <tx>
            <strRef>
              <f>Sum!$E$3</f>
              <strCache>
                <ptCount val="1"/>
                <pt idx="0">
                  <v>Min</v>
                </pt>
              </strCache>
            </strRef>
          </tx>
          <spPr>
            <a:noFill/>
            <a:ln>
              <a:noFill/>
              <a:prstDash val="solid"/>
            </a:ln>
          </spPr>
          <invertIfNegative val="0"/>
          <cat>
            <strRef>
              <f>Sum!$B$5</f>
              <strCache>
                <ptCount val="1"/>
                <pt idx="0">
                  <v>Rain
(mm/d)</v>
                </pt>
              </strCache>
            </strRef>
          </cat>
          <val>
            <numRef>
              <f>Sum!$E$5</f>
              <numCache>
                <formatCode>#,##0;[Red]\(#,##0\);\-</formatCode>
                <ptCount val="1"/>
                <pt idx="0">
                  <v>0.7374113</v>
                </pt>
              </numCache>
            </numRef>
          </val>
        </ser>
        <ser>
          <idx val="3"/>
          <order val="1"/>
          <tx>
            <strRef>
              <f>Sum!$F$3</f>
              <strCache>
                <ptCount val="1"/>
                <pt idx="0">
                  <v>50Y Range</v>
                </pt>
              </strCache>
            </strRef>
          </tx>
          <spPr>
            <a:solidFill>
              <a:srgbClr val="E67B00"/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>
                <a:srgbClr val="E67B00"/>
              </a:solidFill>
              <a:ln>
                <a:noFill/>
                <a:prstDash val="solid"/>
              </a:ln>
            </spPr>
          </dPt>
          <cat>
            <strRef>
              <f>Sum!$B$5</f>
              <strCache>
                <ptCount val="1"/>
                <pt idx="0">
                  <v>Rain
(mm/d)</v>
                </pt>
              </strCache>
            </strRef>
          </cat>
          <val>
            <numRef>
              <f>Sum!$F$5</f>
              <numCache>
                <formatCode>#,##0;[Red]\(#,##0\);\-</formatCode>
                <ptCount val="1"/>
                <pt idx="0">
                  <v>1.9338657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89"/>
        <overlap val="100"/>
        <axId val="311609632"/>
        <axId val="311617312"/>
      </barChart>
      <lineChart>
        <grouping val="standard"/>
        <varyColors val="0"/>
        <ser>
          <idx val="4"/>
          <order val="4"/>
          <tx>
            <strRef>
              <f>Sum!$C$3</f>
              <strCache>
                <ptCount val="1"/>
                <pt idx="0">
                  <v>01-Apr-26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15"/>
            <spPr>
              <a:solidFill>
                <a:srgbClr val="FFFFFF"/>
              </a:solidFill>
              <a:ln w="9525">
                <a:noFill/>
                <a:prstDash val="solid"/>
              </a:ln>
            </spPr>
          </marker>
          <cat>
            <strRef>
              <f>Sum!$B$5</f>
              <strCache>
                <ptCount val="1"/>
                <pt idx="0">
                  <v>Rain
(mm/d)</v>
                </pt>
              </strCache>
            </strRef>
          </cat>
          <val>
            <numRef>
              <f>Sum!$C$5</f>
              <numCache>
                <formatCode>#,##0;[Red]\(#,##0\);\-</formatCode>
                <ptCount val="1"/>
                <pt idx="0">
                  <v>1.247521</v>
                </pt>
              </numCache>
            </numRef>
          </val>
          <smooth val="0"/>
        </ser>
        <ser>
          <idx val="5"/>
          <order val="5"/>
          <tx>
            <strRef>
              <f>Sum!$D$3</f>
              <strCache>
                <ptCount val="1"/>
                <pt idx="0">
                  <v>50Y Avg</v>
                </pt>
              </strCache>
            </strRef>
          </tx>
          <spPr>
            <a:ln w="50800" cap="rnd">
              <a:noFill/>
              <a:prstDash val="solid"/>
              <a:round/>
            </a:ln>
          </spPr>
          <marker>
            <symbol val="dash"/>
            <size val="30"/>
            <spPr>
              <a:solidFill>
                <a:srgbClr val="F9B516"/>
              </a:solidFill>
              <a:ln w="9525">
                <a:noFill/>
                <a:prstDash val="solid"/>
              </a:ln>
            </spPr>
          </marker>
          <cat>
            <strRef>
              <f>Sum!$B$5</f>
              <strCache>
                <ptCount val="1"/>
                <pt idx="0">
                  <v>Rain
(mm/d)</v>
                </pt>
              </strCache>
            </strRef>
          </cat>
          <val>
            <numRef>
              <f>Sum!$D$5</f>
              <numCache>
                <formatCode>#,##0;[Red]\(#,##0\);\-</formatCode>
                <ptCount val="1"/>
                <pt idx="0">
                  <v>1.774891266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11609632"/>
        <axId val="311617312"/>
      </lineChart>
      <catAx>
        <axId val="311609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spPr>
          <a:noFill/>
          <a:ln w="9525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LID4096"/>
          </a:p>
        </txPr>
        <crossAx val="311617312"/>
        <crosses val="autoZero"/>
        <auto val="1"/>
        <lblAlgn val="ctr"/>
        <lblOffset val="100"/>
        <noMultiLvlLbl val="0"/>
      </catAx>
      <valAx>
        <axId val="31161731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rgbClr val="00A3E3"/>
              </a:solidFill>
              <a:prstDash val="solid"/>
              <a:round/>
            </a:ln>
          </spPr>
        </majorGridlines>
        <numFmt formatCode="#,##0;[Red]\(#,##0\);\-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LID4096"/>
          </a:p>
        </txPr>
        <crossAx val="311609632"/>
        <crosses val="autoZero"/>
        <crossBetween val="between"/>
        <majorUnit val="1"/>
      </valAx>
    </plotArea>
    <plotVisOnly val="1"/>
    <dispBlanksAs val="gap"/>
  </chart>
  <spPr>
    <a:noFill/>
    <a:ln w="9525" cap="flat" cmpd="sng" algn="ctr">
      <a:noFill/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stacked"/>
        <varyColors val="0"/>
        <ser>
          <idx val="2"/>
          <order val="0"/>
          <tx>
            <strRef>
              <f>Sum!$E$3</f>
              <strCache>
                <ptCount val="1"/>
                <pt idx="0">
                  <v>Min</v>
                </pt>
              </strCache>
            </strRef>
          </tx>
          <spPr>
            <a:noFill/>
            <a:ln>
              <a:noFill/>
              <a:prstDash val="solid"/>
            </a:ln>
          </spPr>
          <invertIfNegative val="0"/>
          <cat>
            <strRef>
              <f>Sum!$B$6</f>
              <strCache>
                <ptCount val="1"/>
                <pt idx="0">
                  <v>Temp
(Deg C)</v>
                </pt>
              </strCache>
            </strRef>
          </cat>
          <val>
            <numRef>
              <f>Sum!$E$6</f>
              <numCache>
                <formatCode>#,##0;[Red]\(#,##0\);\-</formatCode>
                <ptCount val="1"/>
                <pt idx="0">
                  <v>0.7146301</v>
                </pt>
              </numCache>
            </numRef>
          </val>
        </ser>
        <ser>
          <idx val="3"/>
          <order val="1"/>
          <tx>
            <strRef>
              <f>Sum!$F$3</f>
              <strCache>
                <ptCount val="1"/>
                <pt idx="0">
                  <v>50Y Range</v>
                </pt>
              </strCache>
            </strRef>
          </tx>
          <spPr>
            <a:solidFill>
              <a:srgbClr val="E67B00"/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>
                <a:srgbClr val="E67B00"/>
              </a:solidFill>
              <a:ln>
                <a:noFill/>
                <a:prstDash val="solid"/>
              </a:ln>
            </spPr>
          </dPt>
          <cat>
            <strRef>
              <f>Sum!$B$6</f>
              <strCache>
                <ptCount val="1"/>
                <pt idx="0">
                  <v>Temp
(Deg C)</v>
                </pt>
              </strCache>
            </strRef>
          </cat>
          <val>
            <numRef>
              <f>Sum!$F$6</f>
              <numCache>
                <formatCode>#,##0;[Red]\(#,##0\);\-</formatCode>
                <ptCount val="1"/>
                <pt idx="0">
                  <v>4.2785949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89"/>
        <overlap val="100"/>
        <axId val="311609632"/>
        <axId val="311617312"/>
      </barChart>
      <lineChart>
        <grouping val="standard"/>
        <varyColors val="0"/>
        <ser>
          <idx val="4"/>
          <order val="4"/>
          <tx>
            <strRef>
              <f>Sum!$C$3</f>
              <strCache>
                <ptCount val="1"/>
                <pt idx="0">
                  <v>01-Apr-26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15"/>
            <spPr>
              <a:solidFill>
                <a:srgbClr val="FFFFFF"/>
              </a:solidFill>
              <a:ln w="9525">
                <a:noFill/>
                <a:prstDash val="solid"/>
              </a:ln>
            </spPr>
          </marker>
          <cat>
            <strRef>
              <f>Sum!$B$6</f>
              <strCache>
                <ptCount val="1"/>
                <pt idx="0">
                  <v>Temp
(Deg C)</v>
                </pt>
              </strCache>
            </strRef>
          </cat>
          <val>
            <numRef>
              <f>Sum!$C$6</f>
              <numCache>
                <formatCode>#,##0;[Red]\(#,##0\);\-</formatCode>
                <ptCount val="1"/>
                <pt idx="0">
                  <v>4.437531</v>
                </pt>
              </numCache>
            </numRef>
          </val>
          <smooth val="0"/>
        </ser>
        <ser>
          <idx val="5"/>
          <order val="5"/>
          <tx>
            <strRef>
              <f>Sum!$D$3</f>
              <strCache>
                <ptCount val="1"/>
                <pt idx="0">
                  <v>50Y Avg</v>
                </pt>
              </strCache>
            </strRef>
          </tx>
          <spPr>
            <a:ln w="50800" cap="rnd">
              <a:noFill/>
              <a:prstDash val="solid"/>
              <a:round/>
            </a:ln>
          </spPr>
          <marker>
            <symbol val="dash"/>
            <size val="30"/>
            <spPr>
              <a:solidFill>
                <a:srgbClr val="F9B516"/>
              </a:solidFill>
              <a:ln w="9525">
                <a:noFill/>
                <a:prstDash val="solid"/>
              </a:ln>
            </spPr>
          </marker>
          <cat>
            <strRef>
              <f>Sum!$B$6</f>
              <strCache>
                <ptCount val="1"/>
                <pt idx="0">
                  <v>Temp
(Deg C)</v>
                </pt>
              </strCache>
            </strRef>
          </cat>
          <val>
            <numRef>
              <f>Sum!$D$6</f>
              <numCache>
                <formatCode>#,##0;[Red]\(#,##0\);\-</formatCode>
                <ptCount val="1"/>
                <pt idx="0">
                  <v>2.959398163999999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11609632"/>
        <axId val="311617312"/>
      </lineChart>
      <catAx>
        <axId val="311609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spPr>
          <a:noFill/>
          <a:ln w="9525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LID4096"/>
          </a:p>
        </txPr>
        <crossAx val="311617312"/>
        <crosses val="autoZero"/>
        <auto val="1"/>
        <lblAlgn val="ctr"/>
        <lblOffset val="100"/>
        <noMultiLvlLbl val="0"/>
      </catAx>
      <valAx>
        <axId val="311617312"/>
        <scaling>
          <orientation val="minMax"/>
          <max val="5"/>
        </scaling>
        <delete val="0"/>
        <axPos val="l"/>
        <majorGridlines>
          <spPr>
            <a:ln w="9525" cap="flat" cmpd="sng" algn="ctr">
              <a:solidFill>
                <a:srgbClr val="00A3E3"/>
              </a:solidFill>
              <a:prstDash val="solid"/>
              <a:round/>
            </a:ln>
          </spPr>
        </majorGridlines>
        <numFmt formatCode="#,##0;[Red]\(#,##0\);\-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LID4096"/>
          </a:p>
        </txPr>
        <crossAx val="311609632"/>
        <crosses val="autoZero"/>
        <crossBetween val="between"/>
        <majorUnit val="1"/>
      </valAx>
    </plotArea>
    <plotVisOnly val="1"/>
    <dispBlanksAs val="gap"/>
  </chart>
  <spPr>
    <a:noFill/>
    <a:ln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10</col>
      <colOff>196587</colOff>
      <row>71</row>
      <rowOff>137629</rowOff>
    </from>
    <to>
      <col>16</col>
      <colOff>201449</colOff>
      <row>83</row>
      <rowOff>33089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16</col>
      <colOff>446689</colOff>
      <row>72</row>
      <rowOff>0</rowOff>
    </from>
    <to>
      <col>24</col>
      <colOff>157654</colOff>
      <row>83</row>
      <rowOff>35598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16</col>
      <colOff>144038</colOff>
      <row>71</row>
      <rowOff>32525</rowOff>
    </from>
    <to>
      <col>21</col>
      <colOff>136391</colOff>
      <row>82</row>
      <rowOff>68123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72</row>
      <rowOff>0</rowOff>
    </from>
    <to>
      <col>14</col>
      <colOff>88200</colOff>
      <row>83</row>
      <rowOff>85450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494109</colOff>
      <row>0</row>
      <rowOff>142874</rowOff>
    </from>
    <to>
      <col>9</col>
      <colOff>415781</colOff>
      <row>12</row>
      <rowOff>267749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10</col>
      <colOff>0</colOff>
      <row>1</row>
      <rowOff>0</rowOff>
    </from>
    <to>
      <col>12</col>
      <colOff>414732</colOff>
      <row>12</row>
      <rowOff>270551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13</col>
      <colOff>0</colOff>
      <row>1</row>
      <rowOff>0</rowOff>
    </from>
    <to>
      <col>15</col>
      <colOff>414733</colOff>
      <row>13</row>
      <rowOff>1049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rron">
      <a:dk1>
        <a:srgbClr val="404040"/>
      </a:dk1>
      <a:lt1>
        <a:srgbClr val="FFFFFF"/>
      </a:lt1>
      <a:dk2>
        <a:srgbClr val="B43B39"/>
      </a:dk2>
      <a:lt2>
        <a:srgbClr val="E67B00"/>
      </a:lt2>
      <a:accent1>
        <a:srgbClr val="F9B516"/>
      </a:accent1>
      <a:accent2>
        <a:srgbClr val="64BA87"/>
      </a:accent2>
      <a:accent3>
        <a:srgbClr val="008382"/>
      </a:accent3>
      <a:accent4>
        <a:srgbClr val="005959"/>
      </a:accent4>
      <a:accent5>
        <a:srgbClr val="0099FF"/>
      </a:accent5>
      <a:accent6>
        <a:srgbClr val="00A3E3"/>
      </a:accent6>
      <a:hlink>
        <a:srgbClr val="002127"/>
      </a:hlink>
      <a:folHlink>
        <a:srgbClr val="B2B2B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theme="9"/>
    <outlinePr summaryBelow="1" summaryRight="1"/>
    <pageSetUpPr/>
  </sheetPr>
  <dimension ref="B2:AC96"/>
  <sheetViews>
    <sheetView topLeftCell="A53" zoomScale="145" zoomScaleNormal="145" workbookViewId="0">
      <selection activeCell="G69" sqref="G69"/>
    </sheetView>
  </sheetViews>
  <sheetFormatPr baseColWidth="8" defaultColWidth="8.6640625" defaultRowHeight="11.25"/>
  <sheetData>
    <row r="2">
      <c r="C2" s="1" t="n"/>
      <c r="D2" s="1" t="inlineStr">
        <is>
          <t>Jan</t>
        </is>
      </c>
      <c r="E2" s="1" t="inlineStr">
        <is>
          <t>Feb</t>
        </is>
      </c>
      <c r="F2" s="1" t="inlineStr">
        <is>
          <t>Mar</t>
        </is>
      </c>
      <c r="G2" s="1" t="inlineStr">
        <is>
          <t>Apr</t>
        </is>
      </c>
      <c r="H2" s="1" t="inlineStr">
        <is>
          <t>May</t>
        </is>
      </c>
      <c r="I2" s="1" t="inlineStr">
        <is>
          <t>Jun</t>
        </is>
      </c>
      <c r="J2" s="1" t="inlineStr">
        <is>
          <t>Jul</t>
        </is>
      </c>
      <c r="K2" s="1" t="inlineStr">
        <is>
          <t>Aug</t>
        </is>
      </c>
      <c r="L2" s="1" t="inlineStr">
        <is>
          <t>Sep</t>
        </is>
      </c>
      <c r="M2" s="1" t="inlineStr">
        <is>
          <t>Oct</t>
        </is>
      </c>
      <c r="N2" s="1" t="inlineStr">
        <is>
          <t>Nov</t>
        </is>
      </c>
      <c r="O2" s="1" t="inlineStr">
        <is>
          <t>Dec</t>
        </is>
      </c>
      <c r="P2" s="1" t="inlineStr">
        <is>
          <t>Total</t>
        </is>
      </c>
    </row>
    <row r="3">
      <c r="C3" s="28" t="inlineStr">
        <is>
          <t>Days M</t>
        </is>
      </c>
      <c r="D3" s="28" t="n">
        <v>31</v>
      </c>
      <c r="E3" s="28" t="n">
        <v>28</v>
      </c>
      <c r="F3" s="28" t="n">
        <v>31</v>
      </c>
      <c r="G3" s="28" t="n">
        <v>30</v>
      </c>
      <c r="H3" s="28" t="n">
        <v>31</v>
      </c>
      <c r="I3" s="28" t="n">
        <v>30</v>
      </c>
      <c r="J3" s="28" t="n">
        <v>31</v>
      </c>
      <c r="K3" s="28" t="n">
        <v>31</v>
      </c>
      <c r="L3" s="28" t="n">
        <v>30</v>
      </c>
      <c r="M3" s="28" t="n">
        <v>31</v>
      </c>
      <c r="N3" s="28" t="n">
        <v>30</v>
      </c>
      <c r="O3" s="28" t="n">
        <v>31</v>
      </c>
      <c r="P3" s="28">
        <f>SUM(D3:O3)</f>
        <v/>
      </c>
    </row>
    <row r="4">
      <c r="C4" s="28" t="inlineStr">
        <is>
          <t>hours</t>
        </is>
      </c>
      <c r="D4" s="28">
        <f>D3*24</f>
        <v/>
      </c>
      <c r="E4" s="28">
        <f>E3*24</f>
        <v/>
      </c>
      <c r="F4" s="28">
        <f>F3*24</f>
        <v/>
      </c>
      <c r="G4" s="28">
        <f>G3*24</f>
        <v/>
      </c>
      <c r="H4" s="28">
        <f>H3*24</f>
        <v/>
      </c>
      <c r="I4" s="28">
        <f>I3*24</f>
        <v/>
      </c>
      <c r="J4" s="28">
        <f>J3*24</f>
        <v/>
      </c>
      <c r="K4" s="28">
        <f>K3*24</f>
        <v/>
      </c>
      <c r="L4" s="28">
        <f>L3*24</f>
        <v/>
      </c>
      <c r="M4" s="28">
        <f>M3*24</f>
        <v/>
      </c>
      <c r="N4" s="28">
        <f>N3*24</f>
        <v/>
      </c>
      <c r="O4" s="28">
        <f>O3*24</f>
        <v/>
      </c>
      <c r="P4" s="28">
        <f>SUM(D4:O4)</f>
        <v/>
      </c>
    </row>
    <row r="5">
      <c r="C5" s="28" t="inlineStr">
        <is>
          <t>Month</t>
        </is>
      </c>
      <c r="D5" s="28">
        <f>1</f>
        <v/>
      </c>
      <c r="E5" s="28">
        <f>D5+1</f>
        <v/>
      </c>
      <c r="F5" s="28">
        <f>E5+1</f>
        <v/>
      </c>
      <c r="G5" s="28">
        <f>F5+1</f>
        <v/>
      </c>
      <c r="H5" s="28">
        <f>G5+1</f>
        <v/>
      </c>
      <c r="I5" s="28">
        <f>H5+1</f>
        <v/>
      </c>
      <c r="J5" s="28">
        <f>I5+1</f>
        <v/>
      </c>
      <c r="K5" s="28">
        <f>J5+1</f>
        <v/>
      </c>
      <c r="L5" s="28">
        <f>K5+1</f>
        <v/>
      </c>
      <c r="M5" s="28">
        <f>L5+1</f>
        <v/>
      </c>
      <c r="N5" s="28">
        <f>M5+1</f>
        <v/>
      </c>
      <c r="O5" s="28">
        <f>N5+1</f>
        <v/>
      </c>
    </row>
    <row r="8">
      <c r="C8" s="13" t="inlineStr">
        <is>
          <t>Total</t>
        </is>
      </c>
      <c r="D8" s="2">
        <f>D$2</f>
        <v/>
      </c>
      <c r="E8" s="2">
        <f>E$2</f>
        <v/>
      </c>
      <c r="F8" s="2">
        <f>F$2</f>
        <v/>
      </c>
      <c r="G8" s="2">
        <f>G$2</f>
        <v/>
      </c>
      <c r="H8" s="2">
        <f>H$2</f>
        <v/>
      </c>
      <c r="I8" s="2">
        <f>I$2</f>
        <v/>
      </c>
      <c r="J8" s="2">
        <f>J$2</f>
        <v/>
      </c>
      <c r="K8" s="2">
        <f>K$2</f>
        <v/>
      </c>
      <c r="L8" s="2">
        <f>L$2</f>
        <v/>
      </c>
      <c r="M8" s="2">
        <f>M$2</f>
        <v/>
      </c>
      <c r="N8" s="2">
        <f>N$2</f>
        <v/>
      </c>
      <c r="O8" s="2">
        <f>O$2</f>
        <v/>
      </c>
      <c r="P8" s="28">
        <f>P$2</f>
        <v/>
      </c>
    </row>
    <row r="9">
      <c r="C9" s="10" t="n">
        <v>1970</v>
      </c>
      <c r="D9" s="29" t="n">
        <v>4.980278</v>
      </c>
      <c r="E9" s="29" t="n">
        <v>4.821804</v>
      </c>
      <c r="F9" s="29" t="n">
        <v>4.951557</v>
      </c>
      <c r="G9" s="29" t="n">
        <v>4.543437</v>
      </c>
      <c r="H9" s="29" t="n">
        <v>4.084607</v>
      </c>
      <c r="I9" s="29" t="n">
        <v>3.864278</v>
      </c>
      <c r="J9" s="29" t="n">
        <v>4.578557</v>
      </c>
      <c r="K9" s="29" t="n">
        <v>4.030172</v>
      </c>
      <c r="L9" s="29" t="n">
        <v>5.091012</v>
      </c>
      <c r="M9" s="29" t="n">
        <v>5.301144</v>
      </c>
      <c r="N9" s="29" t="n">
        <v>5.344079</v>
      </c>
      <c r="O9" s="29" t="n">
        <v>5.548806</v>
      </c>
      <c r="Q9" s="28" t="inlineStr">
        <is>
          <t>Year</t>
        </is>
      </c>
      <c r="R9" s="28" t="inlineStr">
        <is>
          <t>Jan</t>
        </is>
      </c>
      <c r="S9" s="28" t="inlineStr">
        <is>
          <t>Feb</t>
        </is>
      </c>
      <c r="T9" s="28" t="inlineStr">
        <is>
          <t>Mar</t>
        </is>
      </c>
      <c r="U9" s="28" t="inlineStr">
        <is>
          <t>Apr</t>
        </is>
      </c>
      <c r="V9" s="28" t="inlineStr">
        <is>
          <t>May</t>
        </is>
      </c>
      <c r="W9" s="28" t="inlineStr">
        <is>
          <t>Jun</t>
        </is>
      </c>
      <c r="X9" s="28" t="inlineStr">
        <is>
          <t>Jul</t>
        </is>
      </c>
      <c r="Y9" s="28" t="inlineStr">
        <is>
          <t>Aug</t>
        </is>
      </c>
      <c r="Z9" s="28" t="inlineStr">
        <is>
          <t>Sep</t>
        </is>
      </c>
      <c r="AA9" s="28" t="inlineStr">
        <is>
          <t>Oct</t>
        </is>
      </c>
      <c r="AB9" s="28" t="inlineStr">
        <is>
          <t>Nov</t>
        </is>
      </c>
      <c r="AC9" s="28" t="inlineStr">
        <is>
          <t>Dec</t>
        </is>
      </c>
    </row>
    <row r="10">
      <c r="C10" s="10" t="n">
        <v>1971</v>
      </c>
      <c r="D10" s="29" t="n">
        <v>5.320168</v>
      </c>
      <c r="E10" s="29" t="n">
        <v>5.760985</v>
      </c>
      <c r="F10" s="29" t="n">
        <v>5.022708</v>
      </c>
      <c r="G10" s="29" t="n">
        <v>4.6778</v>
      </c>
      <c r="H10" s="29" t="n">
        <v>4.141576</v>
      </c>
      <c r="I10" s="29" t="n">
        <v>4.003308</v>
      </c>
      <c r="J10" s="29" t="n">
        <v>4.205336</v>
      </c>
      <c r="K10" s="29" t="n">
        <v>4.434748</v>
      </c>
      <c r="L10" s="29" t="n">
        <v>4.781997</v>
      </c>
      <c r="M10" s="29" t="n">
        <v>5.701512</v>
      </c>
      <c r="N10" s="29" t="n">
        <v>5.916226</v>
      </c>
      <c r="O10" s="29" t="n">
        <v>6.004866</v>
      </c>
      <c r="Q10" s="28" t="n">
        <v>1950</v>
      </c>
      <c r="R10" s="28" t="n">
        <v>5.071</v>
      </c>
      <c r="S10" s="28" t="n">
        <v>5.0224</v>
      </c>
      <c r="T10" s="28" t="n">
        <v>5.329552</v>
      </c>
      <c r="U10" s="28" t="n">
        <v>4.768948</v>
      </c>
      <c r="V10" s="28" t="n">
        <v>4.116385</v>
      </c>
      <c r="W10" s="28" t="n">
        <v>4.028859</v>
      </c>
      <c r="X10" s="28" t="n">
        <v>3.989879</v>
      </c>
      <c r="Y10" s="28" t="n">
        <v>3.896914</v>
      </c>
      <c r="Z10" s="28" t="n">
        <v>4.768837</v>
      </c>
      <c r="AA10" s="28" t="n">
        <v>5.266335</v>
      </c>
      <c r="AB10" s="28" t="n">
        <v>4.958637</v>
      </c>
      <c r="AC10" s="28" t="n">
        <v>4.921893</v>
      </c>
    </row>
    <row r="11">
      <c r="C11" s="10" t="n">
        <v>1972</v>
      </c>
      <c r="D11" s="29" t="n">
        <v>5.301845</v>
      </c>
      <c r="E11" s="29" t="n">
        <v>4.502007</v>
      </c>
      <c r="F11" s="29" t="n">
        <v>5.634272</v>
      </c>
      <c r="G11" s="29" t="n">
        <v>4.581753</v>
      </c>
      <c r="H11" s="29" t="n">
        <v>3.994275</v>
      </c>
      <c r="I11" s="29" t="n">
        <v>4.002967</v>
      </c>
      <c r="J11" s="29" t="n">
        <v>3.778373</v>
      </c>
      <c r="K11" s="29" t="n">
        <v>4.530363</v>
      </c>
      <c r="L11" s="29" t="n">
        <v>4.609238</v>
      </c>
      <c r="M11" s="29" t="n">
        <v>5.152356</v>
      </c>
      <c r="N11" s="29" t="n">
        <v>5.646882</v>
      </c>
      <c r="O11" s="29" t="n">
        <v>6.08329</v>
      </c>
      <c r="Q11" s="28" t="n">
        <v>1951</v>
      </c>
      <c r="R11" s="28" t="n">
        <v>4.944665</v>
      </c>
      <c r="S11" s="28" t="n">
        <v>5.129296</v>
      </c>
      <c r="T11" s="28" t="n">
        <v>4.494025</v>
      </c>
      <c r="U11" s="28" t="n">
        <v>4.963003</v>
      </c>
      <c r="V11" s="28" t="n">
        <v>3.870738</v>
      </c>
      <c r="W11" s="28" t="n">
        <v>3.950382</v>
      </c>
      <c r="X11" s="28" t="n">
        <v>4.232679</v>
      </c>
      <c r="Y11" s="28" t="n">
        <v>4.161898</v>
      </c>
      <c r="Z11" s="28" t="n">
        <v>4.248272</v>
      </c>
      <c r="AA11" s="28" t="n">
        <v>4.697853</v>
      </c>
      <c r="AB11" s="28" t="n">
        <v>5.57189</v>
      </c>
      <c r="AC11" s="28" t="n">
        <v>6.001508</v>
      </c>
    </row>
    <row r="12">
      <c r="C12" s="10" t="n">
        <v>1973</v>
      </c>
      <c r="D12" s="29" t="n">
        <v>5.522614</v>
      </c>
      <c r="E12" s="29" t="n">
        <v>5.309006</v>
      </c>
      <c r="F12" s="29" t="n">
        <v>5.114017</v>
      </c>
      <c r="G12" s="29" t="n">
        <v>4.888301</v>
      </c>
      <c r="H12" s="29" t="n">
        <v>4.319988</v>
      </c>
      <c r="I12" s="29" t="n">
        <v>4.382128</v>
      </c>
      <c r="J12" s="29" t="n">
        <v>3.775596</v>
      </c>
      <c r="K12" s="29" t="n">
        <v>4.597925</v>
      </c>
      <c r="L12" s="29" t="n">
        <v>4.757098</v>
      </c>
      <c r="M12" s="29" t="n">
        <v>4.931047</v>
      </c>
      <c r="N12" s="29" t="n">
        <v>6.040323</v>
      </c>
      <c r="O12" s="29" t="n">
        <v>5.79452</v>
      </c>
      <c r="Q12" s="28" t="n">
        <v>1952</v>
      </c>
      <c r="R12" s="28" t="n">
        <v>5.207168</v>
      </c>
      <c r="S12" s="28" t="n">
        <v>4.715875</v>
      </c>
      <c r="T12" s="28" t="n">
        <v>4.640246</v>
      </c>
      <c r="U12" s="28" t="n">
        <v>4.480106</v>
      </c>
      <c r="V12" s="28" t="n">
        <v>4.255937</v>
      </c>
      <c r="W12" s="28" t="n">
        <v>4.225131</v>
      </c>
      <c r="X12" s="28" t="n">
        <v>4.256574</v>
      </c>
      <c r="Y12" s="28" t="n">
        <v>4.30729</v>
      </c>
      <c r="Z12" s="28" t="n">
        <v>4.771627</v>
      </c>
      <c r="AA12" s="28" t="n">
        <v>4.562578</v>
      </c>
      <c r="AB12" s="28" t="n">
        <v>4.417636</v>
      </c>
      <c r="AC12" s="28" t="n">
        <v>4.804088</v>
      </c>
    </row>
    <row r="13">
      <c r="C13" s="10" t="n">
        <v>1974</v>
      </c>
      <c r="D13" s="29" t="n">
        <v>5.941761</v>
      </c>
      <c r="E13" s="29" t="n">
        <v>5.091674</v>
      </c>
      <c r="F13" s="29" t="n">
        <v>4.468879</v>
      </c>
      <c r="G13" s="29" t="n">
        <v>4.336884</v>
      </c>
      <c r="H13" s="29" t="n">
        <v>3.981615</v>
      </c>
      <c r="I13" s="29" t="n">
        <v>3.937064</v>
      </c>
      <c r="J13" s="29" t="n">
        <v>4.434789</v>
      </c>
      <c r="K13" s="29" t="n">
        <v>3.973814</v>
      </c>
      <c r="L13" s="29" t="n">
        <v>5.153476</v>
      </c>
      <c r="M13" s="29" t="n">
        <v>4.865191</v>
      </c>
      <c r="N13" s="29" t="n">
        <v>5.156541</v>
      </c>
      <c r="O13" s="29" t="n">
        <v>6.059292</v>
      </c>
      <c r="Q13" s="28" t="n">
        <v>1953</v>
      </c>
      <c r="R13" s="28" t="n">
        <v>5.433841</v>
      </c>
      <c r="S13" s="28" t="n">
        <v>5.398854</v>
      </c>
      <c r="T13" s="28" t="n">
        <v>5.87882</v>
      </c>
      <c r="U13" s="28" t="n">
        <v>4.791993</v>
      </c>
      <c r="V13" s="28" t="n">
        <v>4.045199</v>
      </c>
      <c r="W13" s="28" t="n">
        <v>3.442961</v>
      </c>
      <c r="X13" s="28" t="n">
        <v>4.078701</v>
      </c>
      <c r="Y13" s="28" t="n">
        <v>4.35049</v>
      </c>
      <c r="Z13" s="28" t="n">
        <v>4.658185</v>
      </c>
      <c r="AA13" s="28" t="n">
        <v>4.966118</v>
      </c>
      <c r="AB13" s="28" t="n">
        <v>5.98398</v>
      </c>
      <c r="AC13" s="28" t="n">
        <v>4.956563</v>
      </c>
    </row>
    <row r="14">
      <c r="C14" s="10" t="n">
        <v>1975</v>
      </c>
      <c r="D14" s="29" t="n">
        <v>6.32598</v>
      </c>
      <c r="E14" s="29" t="n">
        <v>5.579803</v>
      </c>
      <c r="F14" s="29" t="n">
        <v>4.621903</v>
      </c>
      <c r="G14" s="29" t="n">
        <v>4.600324</v>
      </c>
      <c r="H14" s="29" t="n">
        <v>4.601636</v>
      </c>
      <c r="I14" s="29" t="n">
        <v>4.444839</v>
      </c>
      <c r="J14" s="29" t="n">
        <v>4.075984</v>
      </c>
      <c r="K14" s="29" t="n">
        <v>3.943682</v>
      </c>
      <c r="L14" s="29" t="n">
        <v>5.725485</v>
      </c>
      <c r="M14" s="29" t="n">
        <v>5.236933</v>
      </c>
      <c r="N14" s="29" t="n">
        <v>5.456368</v>
      </c>
      <c r="O14" s="29" t="n">
        <v>6.944824</v>
      </c>
      <c r="Q14" s="28" t="n">
        <v>1954</v>
      </c>
      <c r="R14" s="28" t="n">
        <v>5.652498</v>
      </c>
      <c r="S14" s="28" t="n">
        <v>5.070557</v>
      </c>
      <c r="T14" s="28" t="n">
        <v>4.731769</v>
      </c>
      <c r="U14" s="28" t="n">
        <v>4.444747</v>
      </c>
      <c r="V14" s="28" t="n">
        <v>3.862412</v>
      </c>
      <c r="W14" s="28" t="n">
        <v>4.27032</v>
      </c>
      <c r="X14" s="28" t="n">
        <v>4.020089</v>
      </c>
      <c r="Y14" s="28" t="n">
        <v>4.429555</v>
      </c>
      <c r="Z14" s="28" t="n">
        <v>4.884437</v>
      </c>
      <c r="AA14" s="28" t="n">
        <v>5.071686</v>
      </c>
      <c r="AB14" s="28" t="n">
        <v>5.314167</v>
      </c>
      <c r="AC14" s="28" t="n">
        <v>5.511514</v>
      </c>
    </row>
    <row r="15">
      <c r="C15" s="10" t="n">
        <v>1976</v>
      </c>
      <c r="D15" s="29" t="n">
        <v>5.475534</v>
      </c>
      <c r="E15" s="29" t="n">
        <v>5.513804</v>
      </c>
      <c r="F15" s="29" t="n">
        <v>4.939467</v>
      </c>
      <c r="G15" s="29" t="n">
        <v>5.01092</v>
      </c>
      <c r="H15" s="29" t="n">
        <v>3.995459</v>
      </c>
      <c r="I15" s="29" t="n">
        <v>4.420688</v>
      </c>
      <c r="J15" s="29" t="n">
        <v>4.045648</v>
      </c>
      <c r="K15" s="29" t="n">
        <v>4.095946</v>
      </c>
      <c r="L15" s="29" t="n">
        <v>4.584806</v>
      </c>
      <c r="M15" s="29" t="n">
        <v>5.115583</v>
      </c>
      <c r="N15" s="29" t="n">
        <v>5.398156</v>
      </c>
      <c r="O15" s="29" t="n">
        <v>5.298735</v>
      </c>
      <c r="Q15" s="28" t="n">
        <v>1955</v>
      </c>
      <c r="R15" s="28" t="n">
        <v>5.33558</v>
      </c>
      <c r="S15" s="28" t="n">
        <v>4.172417</v>
      </c>
      <c r="T15" s="28" t="n">
        <v>4.978615</v>
      </c>
      <c r="U15" s="28" t="n">
        <v>4.723119</v>
      </c>
      <c r="V15" s="28" t="n">
        <v>4.710364</v>
      </c>
      <c r="W15" s="28" t="n">
        <v>3.98816</v>
      </c>
      <c r="X15" s="28" t="n">
        <v>4.065333</v>
      </c>
      <c r="Y15" s="28" t="n">
        <v>3.647653</v>
      </c>
      <c r="Z15" s="28" t="n">
        <v>4.585272</v>
      </c>
      <c r="AA15" s="28" t="n">
        <v>5.143086</v>
      </c>
      <c r="AB15" s="28" t="n">
        <v>5.30301</v>
      </c>
      <c r="AC15" s="28" t="n">
        <v>5.486318</v>
      </c>
    </row>
    <row r="16">
      <c r="C16" s="10" t="n">
        <v>1977</v>
      </c>
      <c r="D16" s="29" t="n">
        <v>5.094813</v>
      </c>
      <c r="E16" s="29" t="n">
        <v>4.446826</v>
      </c>
      <c r="F16" s="29" t="n">
        <v>5.015684</v>
      </c>
      <c r="G16" s="29" t="n">
        <v>4.971836</v>
      </c>
      <c r="H16" s="29" t="n">
        <v>4.10544</v>
      </c>
      <c r="I16" s="29" t="n">
        <v>4.263924</v>
      </c>
      <c r="J16" s="29" t="n">
        <v>4.306268</v>
      </c>
      <c r="K16" s="29" t="n">
        <v>4.026011</v>
      </c>
      <c r="L16" s="29" t="n">
        <v>5.311318</v>
      </c>
      <c r="M16" s="29" t="n">
        <v>5.041575</v>
      </c>
      <c r="N16" s="29" t="n">
        <v>5.581302</v>
      </c>
      <c r="O16" s="29" t="n">
        <v>5.75943</v>
      </c>
      <c r="Q16" s="28" t="n">
        <v>1956</v>
      </c>
      <c r="R16" s="28" t="n">
        <v>5.131764</v>
      </c>
      <c r="S16" s="28" t="n">
        <v>5.205091</v>
      </c>
      <c r="T16" s="28" t="n">
        <v>4.771102</v>
      </c>
      <c r="U16" s="28" t="n">
        <v>4.201087</v>
      </c>
      <c r="V16" s="28" t="n">
        <v>4.254452</v>
      </c>
      <c r="W16" s="28" t="n">
        <v>4.453587</v>
      </c>
      <c r="X16" s="28" t="n">
        <v>3.983224</v>
      </c>
      <c r="Y16" s="28" t="n">
        <v>4.41146</v>
      </c>
      <c r="Z16" s="28" t="n">
        <v>4.721503</v>
      </c>
      <c r="AA16" s="28" t="n">
        <v>5.382928</v>
      </c>
      <c r="AB16" s="28" t="n">
        <v>4.974827</v>
      </c>
      <c r="AC16" s="28" t="n">
        <v>5.340255</v>
      </c>
    </row>
    <row r="17">
      <c r="C17" s="10" t="n">
        <v>1978</v>
      </c>
      <c r="D17" s="29" t="n">
        <v>5.59486</v>
      </c>
      <c r="E17" s="29" t="n">
        <v>5.002925</v>
      </c>
      <c r="F17" s="29" t="n">
        <v>4.97635</v>
      </c>
      <c r="G17" s="29" t="n">
        <v>4.532034</v>
      </c>
      <c r="H17" s="29" t="n">
        <v>4.065172</v>
      </c>
      <c r="I17" s="29" t="n">
        <v>4.182211</v>
      </c>
      <c r="J17" s="29" t="n">
        <v>3.815799</v>
      </c>
      <c r="K17" s="29" t="n">
        <v>4.240659</v>
      </c>
      <c r="L17" s="29" t="n">
        <v>5.077646</v>
      </c>
      <c r="M17" s="29" t="n">
        <v>5.527547</v>
      </c>
      <c r="N17" s="29" t="n">
        <v>6.410896</v>
      </c>
      <c r="O17" s="29" t="n">
        <v>4.90215</v>
      </c>
      <c r="Q17" s="28" t="n">
        <v>1957</v>
      </c>
      <c r="R17" s="28" t="n">
        <v>5.933181</v>
      </c>
      <c r="S17" s="28" t="n">
        <v>4.530442</v>
      </c>
      <c r="T17" s="28" t="n">
        <v>4.836944</v>
      </c>
      <c r="U17" s="28" t="n">
        <v>4.349782</v>
      </c>
      <c r="V17" s="28" t="n">
        <v>4.388149</v>
      </c>
      <c r="W17" s="28" t="n">
        <v>4.303578</v>
      </c>
      <c r="X17" s="28" t="n">
        <v>3.678263</v>
      </c>
      <c r="Y17" s="28" t="n">
        <v>4.100115</v>
      </c>
      <c r="Z17" s="28" t="n">
        <v>4.833041</v>
      </c>
      <c r="AA17" s="28" t="n">
        <v>5.484314</v>
      </c>
      <c r="AB17" s="28" t="n">
        <v>5.28474</v>
      </c>
      <c r="AC17" s="28" t="n">
        <v>5.808745</v>
      </c>
    </row>
    <row r="18">
      <c r="C18" s="10" t="n">
        <v>1979</v>
      </c>
      <c r="D18" s="29" t="n">
        <v>4.947244</v>
      </c>
      <c r="E18" s="29" t="n">
        <v>5.284245</v>
      </c>
      <c r="F18" s="29" t="n">
        <v>5.641517</v>
      </c>
      <c r="G18" s="29" t="n">
        <v>4.168728</v>
      </c>
      <c r="H18" s="29" t="n">
        <v>4.70281</v>
      </c>
      <c r="I18" s="29" t="n">
        <v>4.071997</v>
      </c>
      <c r="J18" s="29" t="n">
        <v>3.947283</v>
      </c>
      <c r="K18" s="29" t="n">
        <v>4.245544</v>
      </c>
      <c r="L18" s="29" t="n">
        <v>5.245194</v>
      </c>
      <c r="M18" s="29" t="n">
        <v>4.856534</v>
      </c>
      <c r="N18" s="29" t="n">
        <v>5.300841</v>
      </c>
      <c r="O18" s="29" t="n">
        <v>5.688727</v>
      </c>
      <c r="Q18" s="28" t="n">
        <v>1958</v>
      </c>
      <c r="R18" s="28" t="n">
        <v>5.422312</v>
      </c>
      <c r="S18" s="28" t="n">
        <v>5.139768</v>
      </c>
      <c r="T18" s="28" t="n">
        <v>4.39054</v>
      </c>
      <c r="U18" s="28" t="n">
        <v>4.506139</v>
      </c>
      <c r="V18" s="28" t="n">
        <v>4.470815</v>
      </c>
      <c r="W18" s="28" t="n">
        <v>3.7515</v>
      </c>
      <c r="X18" s="28" t="n">
        <v>4.42525</v>
      </c>
      <c r="Y18" s="28" t="n">
        <v>3.966732</v>
      </c>
      <c r="Z18" s="28" t="n">
        <v>4.148827</v>
      </c>
      <c r="AA18" s="28" t="n">
        <v>5.007501</v>
      </c>
      <c r="AB18" s="28" t="n">
        <v>5.164406</v>
      </c>
      <c r="AC18" s="28" t="n">
        <v>4.798845</v>
      </c>
    </row>
    <row r="19">
      <c r="C19" s="10" t="n">
        <v>1980</v>
      </c>
      <c r="D19" s="29" t="n">
        <v>4.995241</v>
      </c>
      <c r="E19" s="29" t="n">
        <v>4.649525</v>
      </c>
      <c r="F19" s="29" t="n">
        <v>4.659375</v>
      </c>
      <c r="G19" s="29" t="n">
        <v>4.33411</v>
      </c>
      <c r="H19" s="29" t="n">
        <v>4.018964</v>
      </c>
      <c r="I19" s="29" t="n">
        <v>3.927541</v>
      </c>
      <c r="J19" s="29" t="n">
        <v>3.705861</v>
      </c>
      <c r="K19" s="29" t="n">
        <v>4.140531</v>
      </c>
      <c r="L19" s="29" t="n">
        <v>4.424782</v>
      </c>
      <c r="M19" s="29" t="n">
        <v>5.500202</v>
      </c>
      <c r="N19" s="29" t="n">
        <v>5.572435</v>
      </c>
      <c r="O19" s="29" t="n">
        <v>5.882959</v>
      </c>
      <c r="Q19" s="28" t="n">
        <v>1959</v>
      </c>
      <c r="R19" s="28" t="n">
        <v>5.399431</v>
      </c>
      <c r="S19" s="28" t="n">
        <v>6.033575</v>
      </c>
      <c r="T19" s="28" t="n">
        <v>4.873056</v>
      </c>
      <c r="U19" s="28" t="n">
        <v>4.69393</v>
      </c>
      <c r="V19" s="28" t="n">
        <v>4.20264</v>
      </c>
      <c r="W19" s="28" t="n">
        <v>4.414973</v>
      </c>
      <c r="X19" s="28" t="n">
        <v>3.867974</v>
      </c>
      <c r="Y19" s="28" t="n">
        <v>4.391335</v>
      </c>
      <c r="Z19" s="28" t="n">
        <v>4.787807</v>
      </c>
      <c r="AA19" s="28" t="n">
        <v>4.703235</v>
      </c>
      <c r="AB19" s="28" t="n">
        <v>5.247759</v>
      </c>
      <c r="AC19" s="28" t="n">
        <v>5.730257</v>
      </c>
    </row>
    <row r="20">
      <c r="C20" s="10" t="n">
        <v>1981</v>
      </c>
      <c r="D20" s="29" t="n">
        <v>6.022793</v>
      </c>
      <c r="E20" s="29" t="n">
        <v>5.240695</v>
      </c>
      <c r="F20" s="29" t="n">
        <v>4.924341</v>
      </c>
      <c r="G20" s="29" t="n">
        <v>4.813677</v>
      </c>
      <c r="H20" s="29" t="n">
        <v>3.83753</v>
      </c>
      <c r="I20" s="29" t="n">
        <v>4.525337</v>
      </c>
      <c r="J20" s="29" t="n">
        <v>4.105982</v>
      </c>
      <c r="K20" s="29" t="n">
        <v>4.125279</v>
      </c>
      <c r="L20" s="29" t="n">
        <v>4.333592</v>
      </c>
      <c r="M20" s="29" t="n">
        <v>5.233109</v>
      </c>
      <c r="N20" s="29" t="n">
        <v>5.842536</v>
      </c>
      <c r="O20" s="29" t="n">
        <v>5.401381</v>
      </c>
      <c r="Q20" s="28" t="n">
        <v>1960</v>
      </c>
      <c r="R20" s="28" t="n">
        <v>5.145492</v>
      </c>
      <c r="S20" s="28" t="n">
        <v>5.33092</v>
      </c>
      <c r="T20" s="28" t="n">
        <v>4.419744</v>
      </c>
      <c r="U20" s="28" t="n">
        <v>4.820306</v>
      </c>
      <c r="V20" s="28" t="n">
        <v>3.582967</v>
      </c>
      <c r="W20" s="28" t="n">
        <v>4.018574</v>
      </c>
      <c r="X20" s="28" t="n">
        <v>3.865146</v>
      </c>
      <c r="Y20" s="28" t="n">
        <v>4.057352</v>
      </c>
      <c r="Z20" s="28" t="n">
        <v>4.387255</v>
      </c>
      <c r="AA20" s="28" t="n">
        <v>4.138104</v>
      </c>
      <c r="AB20" s="28" t="n">
        <v>4.878706</v>
      </c>
      <c r="AC20" s="28" t="n">
        <v>5.07917</v>
      </c>
    </row>
    <row r="21">
      <c r="C21" s="10" t="n">
        <v>1982</v>
      </c>
      <c r="D21" s="29" t="n">
        <v>5.372005</v>
      </c>
      <c r="E21" s="29" t="n">
        <v>5.157816</v>
      </c>
      <c r="F21" s="29" t="n">
        <v>5.419495</v>
      </c>
      <c r="G21" s="29" t="n">
        <v>5.206586</v>
      </c>
      <c r="H21" s="29" t="n">
        <v>4.456811</v>
      </c>
      <c r="I21" s="29" t="n">
        <v>4.095669</v>
      </c>
      <c r="J21" s="29" t="n">
        <v>4.217188</v>
      </c>
      <c r="K21" s="29" t="n">
        <v>4.335618</v>
      </c>
      <c r="L21" s="29" t="n">
        <v>5.047848</v>
      </c>
      <c r="M21" s="29" t="n">
        <v>4.964093</v>
      </c>
      <c r="N21" s="29" t="n">
        <v>5.939803</v>
      </c>
      <c r="O21" s="29" t="n">
        <v>5.847614</v>
      </c>
      <c r="Q21" s="28" t="n">
        <v>1961</v>
      </c>
      <c r="R21" s="28" t="n">
        <v>4.755135</v>
      </c>
      <c r="S21" s="28" t="n">
        <v>4.94663</v>
      </c>
      <c r="T21" s="28" t="n">
        <v>5.894628</v>
      </c>
      <c r="U21" s="28" t="n">
        <v>3.999192</v>
      </c>
      <c r="V21" s="28" t="n">
        <v>3.98777</v>
      </c>
      <c r="W21" s="28" t="n">
        <v>4.264073</v>
      </c>
      <c r="X21" s="28" t="n">
        <v>3.816148</v>
      </c>
      <c r="Y21" s="28" t="n">
        <v>4.321707</v>
      </c>
      <c r="Z21" s="28" t="n">
        <v>4.617268</v>
      </c>
      <c r="AA21" s="28" t="n">
        <v>4.962369</v>
      </c>
      <c r="AB21" s="28" t="n">
        <v>5.460853</v>
      </c>
      <c r="AC21" s="28" t="n">
        <v>5.531742</v>
      </c>
    </row>
    <row r="22">
      <c r="C22" s="10" t="n">
        <v>1983</v>
      </c>
      <c r="D22" s="29" t="n">
        <v>6.495663</v>
      </c>
      <c r="E22" s="29" t="n">
        <v>5.344565</v>
      </c>
      <c r="F22" s="29" t="n">
        <v>4.972566</v>
      </c>
      <c r="G22" s="29" t="n">
        <v>4.272578</v>
      </c>
      <c r="H22" s="29" t="n">
        <v>4.066681</v>
      </c>
      <c r="I22" s="29" t="n">
        <v>4.34534</v>
      </c>
      <c r="J22" s="29" t="n">
        <v>4.217302</v>
      </c>
      <c r="K22" s="29" t="n">
        <v>4.65089</v>
      </c>
      <c r="L22" s="29" t="n">
        <v>5.31832</v>
      </c>
      <c r="M22" s="29" t="n">
        <v>6.270921</v>
      </c>
      <c r="N22" s="29" t="n">
        <v>5.990317</v>
      </c>
      <c r="O22" s="29" t="n">
        <v>5.793821</v>
      </c>
      <c r="Q22" s="28" t="n">
        <v>1962</v>
      </c>
      <c r="R22" s="28" t="n">
        <v>5.763658</v>
      </c>
      <c r="S22" s="28" t="n">
        <v>6.01899</v>
      </c>
      <c r="T22" s="28" t="n">
        <v>4.088989</v>
      </c>
      <c r="U22" s="28" t="n">
        <v>4.821828</v>
      </c>
      <c r="V22" s="28" t="n">
        <v>4.169776</v>
      </c>
      <c r="W22" s="28" t="n">
        <v>4.286574</v>
      </c>
      <c r="X22" s="28" t="n">
        <v>3.839653</v>
      </c>
      <c r="Y22" s="28" t="n">
        <v>4.503235</v>
      </c>
      <c r="Z22" s="28" t="n">
        <v>4.748555</v>
      </c>
      <c r="AA22" s="28" t="n">
        <v>5.353557</v>
      </c>
      <c r="AB22" s="28" t="n">
        <v>5.024758</v>
      </c>
      <c r="AC22" s="28" t="n">
        <v>5.349802</v>
      </c>
    </row>
    <row r="23">
      <c r="C23" s="10" t="n">
        <v>1984</v>
      </c>
      <c r="D23" s="29" t="n">
        <v>5.933447</v>
      </c>
      <c r="E23" s="29" t="n">
        <v>5.679451</v>
      </c>
      <c r="F23" s="29" t="n">
        <v>4.716844</v>
      </c>
      <c r="G23" s="29" t="n">
        <v>4.425907</v>
      </c>
      <c r="H23" s="29" t="n">
        <v>4.030888</v>
      </c>
      <c r="I23" s="29" t="n">
        <v>4.416184</v>
      </c>
      <c r="J23" s="29" t="n">
        <v>3.950339</v>
      </c>
      <c r="K23" s="29" t="n">
        <v>3.854513</v>
      </c>
      <c r="L23" s="29" t="n">
        <v>4.431015</v>
      </c>
      <c r="M23" s="29" t="n">
        <v>5.524864</v>
      </c>
      <c r="N23" s="29" t="n">
        <v>5.132398</v>
      </c>
      <c r="O23" s="29" t="n">
        <v>5.343485</v>
      </c>
      <c r="Q23" s="28" t="n">
        <v>1963</v>
      </c>
      <c r="R23" s="28" t="n">
        <v>5.372618</v>
      </c>
      <c r="S23" s="28" t="n">
        <v>4.675076</v>
      </c>
      <c r="T23" s="28" t="n">
        <v>4.601296</v>
      </c>
      <c r="U23" s="28" t="n">
        <v>4.064277</v>
      </c>
      <c r="V23" s="28" t="n">
        <v>3.950588</v>
      </c>
      <c r="W23" s="28" t="n">
        <v>3.991792</v>
      </c>
      <c r="X23" s="28" t="n">
        <v>4.264008</v>
      </c>
      <c r="Y23" s="28" t="n">
        <v>3.898936</v>
      </c>
      <c r="Z23" s="28" t="n">
        <v>4.968797</v>
      </c>
      <c r="AA23" s="28" t="n">
        <v>5.006187</v>
      </c>
      <c r="AB23" s="28" t="n">
        <v>5.109998</v>
      </c>
      <c r="AC23" s="28" t="n">
        <v>5.338807</v>
      </c>
    </row>
    <row r="24">
      <c r="C24" s="10" t="n">
        <v>1985</v>
      </c>
      <c r="D24" s="29" t="n">
        <v>5.031901</v>
      </c>
      <c r="E24" s="29" t="n">
        <v>4.695417</v>
      </c>
      <c r="F24" s="29" t="n">
        <v>4.987257</v>
      </c>
      <c r="G24" s="29" t="n">
        <v>4.616</v>
      </c>
      <c r="H24" s="29" t="n">
        <v>4.190647</v>
      </c>
      <c r="I24" s="29" t="n">
        <v>3.87218</v>
      </c>
      <c r="J24" s="29" t="n">
        <v>3.964695</v>
      </c>
      <c r="K24" s="29" t="n">
        <v>4.39783</v>
      </c>
      <c r="L24" s="29" t="n">
        <v>5.166065</v>
      </c>
      <c r="M24" s="29" t="n">
        <v>5.714338</v>
      </c>
      <c r="N24" s="29" t="n">
        <v>5.677371</v>
      </c>
      <c r="O24" s="29" t="n">
        <v>4.950766</v>
      </c>
      <c r="Q24" s="28" t="n">
        <v>1964</v>
      </c>
      <c r="R24" s="28" t="n">
        <v>6.003556</v>
      </c>
      <c r="S24" s="28" t="n">
        <v>4.77509</v>
      </c>
      <c r="T24" s="28" t="n">
        <v>4.035825</v>
      </c>
      <c r="U24" s="28" t="n">
        <v>3.980641</v>
      </c>
      <c r="V24" s="28" t="n">
        <v>4.04747</v>
      </c>
      <c r="W24" s="28" t="n">
        <v>4.509282</v>
      </c>
      <c r="X24" s="28" t="n">
        <v>4.324748</v>
      </c>
      <c r="Y24" s="28" t="n">
        <v>4.375777</v>
      </c>
      <c r="Z24" s="28" t="n">
        <v>4.630369</v>
      </c>
      <c r="AA24" s="28" t="n">
        <v>5.076818</v>
      </c>
      <c r="AB24" s="28" t="n">
        <v>5.240435</v>
      </c>
      <c r="AC24" s="28" t="n">
        <v>5.544835</v>
      </c>
    </row>
    <row r="25">
      <c r="C25" s="10" t="n">
        <v>1986</v>
      </c>
      <c r="D25" s="29" t="n">
        <v>5.100403</v>
      </c>
      <c r="E25" s="29" t="n">
        <v>4.70672</v>
      </c>
      <c r="F25" s="29" t="n">
        <v>5.54092</v>
      </c>
      <c r="G25" s="29" t="n">
        <v>4.501863</v>
      </c>
      <c r="H25" s="29" t="n">
        <v>4.495594</v>
      </c>
      <c r="I25" s="29" t="n">
        <v>4.314367</v>
      </c>
      <c r="J25" s="29" t="n">
        <v>4.100664</v>
      </c>
      <c r="K25" s="29" t="n">
        <v>4.419353</v>
      </c>
      <c r="L25" s="29" t="n">
        <v>4.995687</v>
      </c>
      <c r="M25" s="29" t="n">
        <v>5.804091</v>
      </c>
      <c r="N25" s="29" t="n">
        <v>5.945743</v>
      </c>
      <c r="O25" s="29" t="n">
        <v>5.723379</v>
      </c>
      <c r="Q25" s="28" t="n">
        <v>1965</v>
      </c>
      <c r="R25" s="28" t="n">
        <v>5.422901</v>
      </c>
      <c r="S25" s="28" t="n">
        <v>5.498281</v>
      </c>
      <c r="T25" s="28" t="n">
        <v>4.853357</v>
      </c>
      <c r="U25" s="28" t="n">
        <v>4.723174</v>
      </c>
      <c r="V25" s="28" t="n">
        <v>3.897845</v>
      </c>
      <c r="W25" s="28" t="n">
        <v>4.116018</v>
      </c>
      <c r="X25" s="28" t="n">
        <v>4.190621</v>
      </c>
      <c r="Y25" s="28" t="n">
        <v>4.057521</v>
      </c>
      <c r="Z25" s="28" t="n">
        <v>4.464789</v>
      </c>
      <c r="AA25" s="28" t="n">
        <v>5.054426</v>
      </c>
      <c r="AB25" s="28" t="n">
        <v>5.175345</v>
      </c>
      <c r="AC25" s="28" t="n">
        <v>5.060409</v>
      </c>
    </row>
    <row r="26">
      <c r="C26" s="10" t="n">
        <v>1987</v>
      </c>
      <c r="D26" s="29" t="n">
        <v>5.375212</v>
      </c>
      <c r="E26" s="29" t="n">
        <v>5.164012</v>
      </c>
      <c r="F26" s="29" t="n">
        <v>4.726808</v>
      </c>
      <c r="G26" s="29" t="n">
        <v>4.428339</v>
      </c>
      <c r="H26" s="29" t="n">
        <v>4.332589</v>
      </c>
      <c r="I26" s="29" t="n">
        <v>4.186519</v>
      </c>
      <c r="J26" s="29" t="n">
        <v>4.165107</v>
      </c>
      <c r="K26" s="29" t="n">
        <v>4.356983</v>
      </c>
      <c r="L26" s="29" t="n">
        <v>4.632861</v>
      </c>
      <c r="M26" s="29" t="n">
        <v>5.968405</v>
      </c>
      <c r="N26" s="29" t="n">
        <v>5.031797</v>
      </c>
      <c r="O26" s="29" t="n">
        <v>5.468615</v>
      </c>
      <c r="Q26" s="28" t="n">
        <v>1966</v>
      </c>
      <c r="R26" s="28" t="n">
        <v>5.052089</v>
      </c>
      <c r="S26" s="28" t="n">
        <v>4.498187</v>
      </c>
      <c r="T26" s="28" t="n">
        <v>5.048675</v>
      </c>
      <c r="U26" s="28" t="n">
        <v>4.209608</v>
      </c>
      <c r="V26" s="28" t="n">
        <v>4.236102</v>
      </c>
      <c r="W26" s="28" t="n">
        <v>3.547657</v>
      </c>
      <c r="X26" s="28" t="n">
        <v>3.900767</v>
      </c>
      <c r="Y26" s="28" t="n">
        <v>4.337844</v>
      </c>
      <c r="Z26" s="28" t="n">
        <v>5.366833</v>
      </c>
      <c r="AA26" s="28" t="n">
        <v>4.326261</v>
      </c>
      <c r="AB26" s="28" t="n">
        <v>5.188761</v>
      </c>
      <c r="AC26" s="28" t="n">
        <v>6.077359</v>
      </c>
    </row>
    <row r="27">
      <c r="C27" s="10" t="n">
        <v>1988</v>
      </c>
      <c r="D27" s="29" t="n">
        <v>5.705068</v>
      </c>
      <c r="E27" s="29" t="n">
        <v>5.251595</v>
      </c>
      <c r="F27" s="29" t="n">
        <v>4.378341</v>
      </c>
      <c r="G27" s="29" t="n">
        <v>4.687257</v>
      </c>
      <c r="H27" s="29" t="n">
        <v>3.920107</v>
      </c>
      <c r="I27" s="29" t="n">
        <v>3.849544</v>
      </c>
      <c r="J27" s="29" t="n">
        <v>4.089224</v>
      </c>
      <c r="K27" s="29" t="n">
        <v>4.234647</v>
      </c>
      <c r="L27" s="29" t="n">
        <v>5.243489</v>
      </c>
      <c r="M27" s="29" t="n">
        <v>5.703295</v>
      </c>
      <c r="N27" s="29" t="n">
        <v>5.884305</v>
      </c>
      <c r="O27" s="29" t="n">
        <v>5.975499</v>
      </c>
      <c r="Q27" s="28" t="n">
        <v>1967</v>
      </c>
      <c r="R27" s="28" t="n">
        <v>4.934481</v>
      </c>
      <c r="S27" s="28" t="n">
        <v>5.391164</v>
      </c>
      <c r="T27" s="28" t="n">
        <v>5.918502</v>
      </c>
      <c r="U27" s="28" t="n">
        <v>4.888287</v>
      </c>
      <c r="V27" s="28" t="n">
        <v>3.91391</v>
      </c>
      <c r="W27" s="28" t="n">
        <v>4.563822</v>
      </c>
      <c r="X27" s="28" t="n">
        <v>3.943188</v>
      </c>
      <c r="Y27" s="28" t="n">
        <v>3.968023</v>
      </c>
      <c r="Z27" s="28" t="n">
        <v>4.370417</v>
      </c>
      <c r="AA27" s="28" t="n">
        <v>5.647355</v>
      </c>
      <c r="AB27" s="28" t="n">
        <v>5.555485</v>
      </c>
      <c r="AC27" s="28" t="n">
        <v>5.155148</v>
      </c>
    </row>
    <row r="28">
      <c r="C28" s="10" t="n">
        <v>1989</v>
      </c>
      <c r="D28" s="29" t="n">
        <v>6.601554</v>
      </c>
      <c r="E28" s="29" t="n">
        <v>6.651591</v>
      </c>
      <c r="F28" s="29" t="n">
        <v>5.327741</v>
      </c>
      <c r="G28" s="29" t="n">
        <v>4.484559</v>
      </c>
      <c r="H28" s="29" t="n">
        <v>4.681495</v>
      </c>
      <c r="I28" s="29" t="n">
        <v>4.27816</v>
      </c>
      <c r="J28" s="29" t="n">
        <v>4.199115</v>
      </c>
      <c r="K28" s="29" t="n">
        <v>4.513974</v>
      </c>
      <c r="L28" s="29" t="n">
        <v>4.810113</v>
      </c>
      <c r="M28" s="29" t="n">
        <v>4.972064</v>
      </c>
      <c r="N28" s="29" t="n">
        <v>5.20692</v>
      </c>
      <c r="O28" s="29" t="n">
        <v>5.796492</v>
      </c>
      <c r="Q28" s="28" t="n">
        <v>1968</v>
      </c>
      <c r="R28" s="28" t="n">
        <v>4.969309</v>
      </c>
      <c r="S28" s="28" t="n">
        <v>4.893397</v>
      </c>
      <c r="T28" s="28" t="n">
        <v>5.862499</v>
      </c>
      <c r="U28" s="28" t="n">
        <v>4.628123</v>
      </c>
      <c r="V28" s="28" t="n">
        <v>4.112558</v>
      </c>
      <c r="W28" s="28" t="n">
        <v>4.214168</v>
      </c>
      <c r="X28" s="28" t="n">
        <v>3.826485</v>
      </c>
      <c r="Y28" s="28" t="n">
        <v>3.879923</v>
      </c>
      <c r="Z28" s="28" t="n">
        <v>4.073962</v>
      </c>
      <c r="AA28" s="28" t="n">
        <v>5.232282</v>
      </c>
      <c r="AB28" s="28" t="n">
        <v>4.777997</v>
      </c>
      <c r="AC28" s="28" t="n">
        <v>4.9442</v>
      </c>
    </row>
    <row r="29">
      <c r="C29" s="10" t="n">
        <v>1990</v>
      </c>
      <c r="D29" s="29" t="n">
        <v>5.820116</v>
      </c>
      <c r="E29" s="29" t="n">
        <v>6.537987</v>
      </c>
      <c r="F29" s="29" t="n">
        <v>6.517455</v>
      </c>
      <c r="G29" s="29" t="n">
        <v>4.918002</v>
      </c>
      <c r="H29" s="29" t="n">
        <v>4.363998</v>
      </c>
      <c r="I29" s="29" t="n">
        <v>4.022758</v>
      </c>
      <c r="J29" s="29" t="n">
        <v>4.264922</v>
      </c>
      <c r="K29" s="29" t="n">
        <v>3.938932</v>
      </c>
      <c r="L29" s="29" t="n">
        <v>4.837094</v>
      </c>
      <c r="M29" s="29" t="n">
        <v>5.360669</v>
      </c>
      <c r="N29" s="29" t="n">
        <v>5.036472</v>
      </c>
      <c r="O29" s="29" t="n">
        <v>6.215169</v>
      </c>
      <c r="Q29" s="28" t="n">
        <v>1969</v>
      </c>
      <c r="R29" s="28" t="n">
        <v>4.982756</v>
      </c>
      <c r="S29" s="28" t="n">
        <v>5.163934</v>
      </c>
      <c r="T29" s="28" t="n">
        <v>4.664513</v>
      </c>
      <c r="U29" s="28" t="n">
        <v>4.745105</v>
      </c>
      <c r="V29" s="28" t="n">
        <v>3.859704</v>
      </c>
      <c r="W29" s="28" t="n">
        <v>3.585154</v>
      </c>
      <c r="X29" s="28" t="n">
        <v>4.213363</v>
      </c>
      <c r="Y29" s="28" t="n">
        <v>3.719806</v>
      </c>
      <c r="Z29" s="28" t="n">
        <v>5.116157</v>
      </c>
      <c r="AA29" s="28" t="n">
        <v>5.361831</v>
      </c>
      <c r="AB29" s="28" t="n">
        <v>5.543586</v>
      </c>
      <c r="AC29" s="28" t="n">
        <v>4.85458</v>
      </c>
    </row>
    <row r="30">
      <c r="C30" s="10" t="n">
        <v>1991</v>
      </c>
      <c r="D30" s="29" t="n">
        <v>5.902172</v>
      </c>
      <c r="E30" s="29" t="n">
        <v>5.119791</v>
      </c>
      <c r="F30" s="29" t="n">
        <v>4.627805</v>
      </c>
      <c r="G30" s="29" t="n">
        <v>4.721906</v>
      </c>
      <c r="H30" s="29" t="n">
        <v>4.551916</v>
      </c>
      <c r="I30" s="29" t="n">
        <v>4.183845</v>
      </c>
      <c r="J30" s="29" t="n">
        <v>3.908925</v>
      </c>
      <c r="K30" s="29" t="n">
        <v>4.047963</v>
      </c>
      <c r="L30" s="29" t="n">
        <v>5.162304</v>
      </c>
      <c r="M30" s="29" t="n">
        <v>4.946212</v>
      </c>
      <c r="N30" s="29" t="n">
        <v>5.705602</v>
      </c>
      <c r="O30" s="29" t="n">
        <v>6.28588</v>
      </c>
      <c r="Q30" s="28" t="n">
        <v>1970</v>
      </c>
      <c r="R30" s="28" t="n">
        <v>4.816587</v>
      </c>
      <c r="S30" s="28" t="n">
        <v>4.679221</v>
      </c>
      <c r="T30" s="28" t="n">
        <v>4.824067</v>
      </c>
      <c r="U30" s="28" t="n">
        <v>4.438371</v>
      </c>
      <c r="V30" s="28" t="n">
        <v>3.982125</v>
      </c>
      <c r="W30" s="28" t="n">
        <v>3.779888</v>
      </c>
      <c r="X30" s="28" t="n">
        <v>4.482129</v>
      </c>
      <c r="Y30" s="28" t="n">
        <v>3.943482</v>
      </c>
      <c r="Z30" s="28" t="n">
        <v>4.978524</v>
      </c>
      <c r="AA30" s="28" t="n">
        <v>5.160632</v>
      </c>
      <c r="AB30" s="28" t="n">
        <v>5.203587</v>
      </c>
      <c r="AC30" s="28" t="n">
        <v>5.396299</v>
      </c>
    </row>
    <row r="31">
      <c r="C31" s="10" t="n">
        <v>1992</v>
      </c>
      <c r="D31" s="29" t="n">
        <v>6.482757</v>
      </c>
      <c r="E31" s="29" t="n">
        <v>5.791369</v>
      </c>
      <c r="F31" s="29" t="n">
        <v>5.469163</v>
      </c>
      <c r="G31" s="29" t="n">
        <v>4.840372</v>
      </c>
      <c r="H31" s="29" t="n">
        <v>4.287349</v>
      </c>
      <c r="I31" s="29" t="n">
        <v>4.263383</v>
      </c>
      <c r="J31" s="29" t="n">
        <v>4.294098</v>
      </c>
      <c r="K31" s="29" t="n">
        <v>4.434748</v>
      </c>
      <c r="L31" s="29" t="n">
        <v>4.410963</v>
      </c>
      <c r="M31" s="29" t="n">
        <v>4.842449</v>
      </c>
      <c r="N31" s="29" t="n">
        <v>5.675178</v>
      </c>
      <c r="O31" s="29" t="n">
        <v>6.208786</v>
      </c>
      <c r="Q31" s="28" t="n">
        <v>1971</v>
      </c>
      <c r="R31" s="28" t="n">
        <v>5.193482</v>
      </c>
      <c r="S31" s="28" t="n">
        <v>5.61328</v>
      </c>
      <c r="T31" s="28" t="n">
        <v>4.870483</v>
      </c>
      <c r="U31" s="28" t="n">
        <v>4.579854</v>
      </c>
      <c r="V31" s="28" t="n">
        <v>4.060255</v>
      </c>
      <c r="W31" s="28" t="n">
        <v>3.904674</v>
      </c>
      <c r="X31" s="28" t="n">
        <v>4.124172</v>
      </c>
      <c r="Y31" s="28" t="n">
        <v>4.332435</v>
      </c>
      <c r="Z31" s="28" t="n">
        <v>4.670835</v>
      </c>
      <c r="AA31" s="28" t="n">
        <v>5.566767</v>
      </c>
      <c r="AB31" s="28" t="n">
        <v>5.78083</v>
      </c>
      <c r="AC31" s="28" t="n">
        <v>5.822407</v>
      </c>
    </row>
    <row r="32">
      <c r="C32" s="10" t="n">
        <v>1993</v>
      </c>
      <c r="D32" s="29" t="n">
        <v>7.125188</v>
      </c>
      <c r="E32" s="29" t="n">
        <v>6.19853</v>
      </c>
      <c r="F32" s="29" t="n">
        <v>5.466749</v>
      </c>
      <c r="G32" s="29" t="n">
        <v>4.423912</v>
      </c>
      <c r="H32" s="29" t="n">
        <v>4.201486</v>
      </c>
      <c r="I32" s="29" t="n">
        <v>4.077872</v>
      </c>
      <c r="J32" s="29" t="n">
        <v>4.344964</v>
      </c>
      <c r="K32" s="29" t="n">
        <v>4.324384</v>
      </c>
      <c r="L32" s="29" t="n">
        <v>4.229931</v>
      </c>
      <c r="M32" s="29" t="n">
        <v>5.452547</v>
      </c>
      <c r="N32" s="29" t="n">
        <v>5.188529</v>
      </c>
      <c r="O32" s="29" t="n">
        <v>5.702503</v>
      </c>
      <c r="Q32" s="28" t="n">
        <v>1972</v>
      </c>
      <c r="R32" s="28" t="n">
        <v>5.145155</v>
      </c>
      <c r="S32" s="28" t="n">
        <v>4.378576</v>
      </c>
      <c r="T32" s="28" t="n">
        <v>5.505074</v>
      </c>
      <c r="U32" s="28" t="n">
        <v>4.470944</v>
      </c>
      <c r="V32" s="28" t="n">
        <v>3.905556</v>
      </c>
      <c r="W32" s="28" t="n">
        <v>3.904608</v>
      </c>
      <c r="X32" s="28" t="n">
        <v>3.705448</v>
      </c>
      <c r="Y32" s="28" t="n">
        <v>4.427268</v>
      </c>
      <c r="Z32" s="28" t="n">
        <v>4.50542</v>
      </c>
      <c r="AA32" s="28" t="n">
        <v>5.002663</v>
      </c>
      <c r="AB32" s="28" t="n">
        <v>5.481144</v>
      </c>
      <c r="AC32" s="28" t="n">
        <v>5.91904</v>
      </c>
    </row>
    <row r="33">
      <c r="C33" s="10" t="n">
        <v>1994</v>
      </c>
      <c r="D33" s="29" t="n">
        <v>5.437043</v>
      </c>
      <c r="E33" s="29" t="n">
        <v>4.663339</v>
      </c>
      <c r="F33" s="29" t="n">
        <v>5.680355</v>
      </c>
      <c r="G33" s="29" t="n">
        <v>4.740541</v>
      </c>
      <c r="H33" s="29" t="n">
        <v>4.23434</v>
      </c>
      <c r="I33" s="29" t="n">
        <v>4.686683</v>
      </c>
      <c r="J33" s="29" t="n">
        <v>3.693875</v>
      </c>
      <c r="K33" s="29" t="n">
        <v>4.062603</v>
      </c>
      <c r="L33" s="29" t="n">
        <v>4.726232</v>
      </c>
      <c r="M33" s="29" t="n">
        <v>5.549871</v>
      </c>
      <c r="N33" s="29" t="n">
        <v>5.464186</v>
      </c>
      <c r="O33" s="29" t="n">
        <v>5.943079</v>
      </c>
      <c r="Q33" s="28" t="n">
        <v>1973</v>
      </c>
      <c r="R33" s="28" t="n">
        <v>5.397614</v>
      </c>
      <c r="S33" s="28" t="n">
        <v>5.176778</v>
      </c>
      <c r="T33" s="28" t="n">
        <v>4.964415</v>
      </c>
      <c r="U33" s="28" t="n">
        <v>4.738601</v>
      </c>
      <c r="V33" s="28" t="n">
        <v>4.230498</v>
      </c>
      <c r="W33" s="28" t="n">
        <v>4.29106</v>
      </c>
      <c r="X33" s="28" t="n">
        <v>3.676841</v>
      </c>
      <c r="Y33" s="28" t="n">
        <v>4.502194</v>
      </c>
      <c r="Z33" s="28" t="n">
        <v>4.669212</v>
      </c>
      <c r="AA33" s="28" t="n">
        <v>4.817994</v>
      </c>
      <c r="AB33" s="28" t="n">
        <v>5.868983</v>
      </c>
      <c r="AC33" s="28" t="n">
        <v>5.614618</v>
      </c>
    </row>
    <row r="34">
      <c r="C34" s="10" t="n">
        <v>1995</v>
      </c>
      <c r="D34" s="29" t="n">
        <v>6.463933</v>
      </c>
      <c r="E34" s="29" t="n">
        <v>5.982767</v>
      </c>
      <c r="F34" s="29" t="n">
        <v>6.025298</v>
      </c>
      <c r="G34" s="29" t="n">
        <v>4.850667</v>
      </c>
      <c r="H34" s="29" t="n">
        <v>4.141138</v>
      </c>
      <c r="I34" s="29" t="n">
        <v>4.266536</v>
      </c>
      <c r="J34" s="29" t="n">
        <v>4.323944</v>
      </c>
      <c r="K34" s="29" t="n">
        <v>4.5855</v>
      </c>
      <c r="L34" s="29" t="n">
        <v>4.748571</v>
      </c>
      <c r="M34" s="29" t="n">
        <v>5.550559</v>
      </c>
      <c r="N34" s="29" t="n">
        <v>5.449211</v>
      </c>
      <c r="O34" s="29" t="n">
        <v>5.037974</v>
      </c>
      <c r="Q34" s="28" t="n">
        <v>1974</v>
      </c>
      <c r="R34" s="28" t="n">
        <v>5.739391</v>
      </c>
      <c r="S34" s="28" t="n">
        <v>4.941491</v>
      </c>
      <c r="T34" s="28" t="n">
        <v>4.350791</v>
      </c>
      <c r="U34" s="28" t="n">
        <v>4.234688</v>
      </c>
      <c r="V34" s="28" t="n">
        <v>3.898682</v>
      </c>
      <c r="W34" s="28" t="n">
        <v>3.861369</v>
      </c>
      <c r="X34" s="28" t="n">
        <v>4.354553</v>
      </c>
      <c r="Y34" s="28" t="n">
        <v>3.892622</v>
      </c>
      <c r="Z34" s="28" t="n">
        <v>5.036898</v>
      </c>
      <c r="AA34" s="28" t="n">
        <v>4.748919</v>
      </c>
      <c r="AB34" s="28" t="n">
        <v>5.034493</v>
      </c>
      <c r="AC34" s="28" t="n">
        <v>5.876735</v>
      </c>
    </row>
    <row r="35">
      <c r="C35" s="10" t="n">
        <v>1996</v>
      </c>
      <c r="D35" s="29" t="n">
        <v>4.955645</v>
      </c>
      <c r="E35" s="29" t="n">
        <v>5.507914</v>
      </c>
      <c r="F35" s="29" t="n">
        <v>4.562961</v>
      </c>
      <c r="G35" s="29" t="n">
        <v>4.23749</v>
      </c>
      <c r="H35" s="29" t="n">
        <v>4.480361</v>
      </c>
      <c r="I35" s="29" t="n">
        <v>4.401796</v>
      </c>
      <c r="J35" s="29" t="n">
        <v>4.267325</v>
      </c>
      <c r="K35" s="29" t="n">
        <v>4.036385</v>
      </c>
      <c r="L35" s="29" t="n">
        <v>4.692292</v>
      </c>
      <c r="M35" s="29" t="n">
        <v>5.194207</v>
      </c>
      <c r="N35" s="29" t="n">
        <v>5.371156</v>
      </c>
      <c r="O35" s="29" t="n">
        <v>5.194935</v>
      </c>
      <c r="Q35" s="28" t="n">
        <v>1975</v>
      </c>
      <c r="R35" s="28" t="n">
        <v>6.155165</v>
      </c>
      <c r="S35" s="28" t="n">
        <v>5.470025</v>
      </c>
      <c r="T35" s="28" t="n">
        <v>4.481015</v>
      </c>
      <c r="U35" s="28" t="n">
        <v>4.465889</v>
      </c>
      <c r="V35" s="28" t="n">
        <v>4.476104</v>
      </c>
      <c r="W35" s="28" t="n">
        <v>4.340017</v>
      </c>
      <c r="X35" s="28" t="n">
        <v>4.000838</v>
      </c>
      <c r="Y35" s="28" t="n">
        <v>3.860045</v>
      </c>
      <c r="Z35" s="28" t="n">
        <v>5.60202</v>
      </c>
      <c r="AA35" s="28" t="n">
        <v>5.121623</v>
      </c>
      <c r="AB35" s="28" t="n">
        <v>5.314923</v>
      </c>
      <c r="AC35" s="28" t="n">
        <v>6.764335</v>
      </c>
    </row>
    <row r="36">
      <c r="C36" s="10" t="n">
        <v>1997</v>
      </c>
      <c r="D36" s="29" t="n">
        <v>5.88437</v>
      </c>
      <c r="E36" s="29" t="n">
        <v>6.597657</v>
      </c>
      <c r="F36" s="29" t="n">
        <v>5.908049</v>
      </c>
      <c r="G36" s="29" t="n">
        <v>5.43157</v>
      </c>
      <c r="H36" s="29" t="n">
        <v>4.323893</v>
      </c>
      <c r="I36" s="29" t="n">
        <v>3.997604</v>
      </c>
      <c r="J36" s="29" t="n">
        <v>3.490097</v>
      </c>
      <c r="K36" s="29" t="n">
        <v>3.964917</v>
      </c>
      <c r="L36" s="29" t="n">
        <v>5.539371</v>
      </c>
      <c r="M36" s="29" t="n">
        <v>5.308291</v>
      </c>
      <c r="N36" s="29" t="n">
        <v>4.872298</v>
      </c>
      <c r="O36" s="29" t="n">
        <v>4.760631</v>
      </c>
      <c r="Q36" s="28" t="n">
        <v>1976</v>
      </c>
      <c r="R36" s="28" t="n">
        <v>5.274082</v>
      </c>
      <c r="S36" s="28" t="n">
        <v>5.342912</v>
      </c>
      <c r="T36" s="28" t="n">
        <v>4.785767</v>
      </c>
      <c r="U36" s="28" t="n">
        <v>4.893412</v>
      </c>
      <c r="V36" s="28" t="n">
        <v>3.893363</v>
      </c>
      <c r="W36" s="28" t="n">
        <v>4.33912</v>
      </c>
      <c r="X36" s="28" t="n">
        <v>3.956606</v>
      </c>
      <c r="Y36" s="28" t="n">
        <v>4.006926</v>
      </c>
      <c r="Z36" s="28" t="n">
        <v>4.480538</v>
      </c>
      <c r="AA36" s="28" t="n">
        <v>4.985673</v>
      </c>
      <c r="AB36" s="28" t="n">
        <v>5.252891</v>
      </c>
      <c r="AC36" s="28" t="n">
        <v>5.185266</v>
      </c>
    </row>
    <row r="37">
      <c r="C37" s="10" t="n">
        <v>1998</v>
      </c>
      <c r="D37" s="29" t="n">
        <v>5.49255</v>
      </c>
      <c r="E37" s="29" t="n">
        <v>6.29272</v>
      </c>
      <c r="F37" s="29" t="n">
        <v>5.220081</v>
      </c>
      <c r="G37" s="29" t="n">
        <v>4.149074</v>
      </c>
      <c r="H37" s="29" t="n">
        <v>4.274294</v>
      </c>
      <c r="I37" s="29" t="n">
        <v>4.375283</v>
      </c>
      <c r="J37" s="29" t="n">
        <v>4.175772</v>
      </c>
      <c r="K37" s="29" t="n">
        <v>4.525867</v>
      </c>
      <c r="L37" s="29" t="n">
        <v>4.608306</v>
      </c>
      <c r="M37" s="29" t="n">
        <v>5.674005</v>
      </c>
      <c r="N37" s="29" t="n">
        <v>4.771341</v>
      </c>
      <c r="O37" s="29" t="n">
        <v>5.852151</v>
      </c>
      <c r="Q37" s="28" t="n">
        <v>1977</v>
      </c>
      <c r="R37" s="28" t="n">
        <v>4.934591</v>
      </c>
      <c r="S37" s="28" t="n">
        <v>4.313769</v>
      </c>
      <c r="T37" s="28" t="n">
        <v>4.87527</v>
      </c>
      <c r="U37" s="28" t="n">
        <v>4.848108</v>
      </c>
      <c r="V37" s="28" t="n">
        <v>4.025662</v>
      </c>
      <c r="W37" s="28" t="n">
        <v>4.172863</v>
      </c>
      <c r="X37" s="28" t="n">
        <v>4.221766</v>
      </c>
      <c r="Y37" s="28" t="n">
        <v>3.929823</v>
      </c>
      <c r="Z37" s="28" t="n">
        <v>5.155403</v>
      </c>
      <c r="AA37" s="28" t="n">
        <v>4.898073</v>
      </c>
      <c r="AB37" s="28" t="n">
        <v>5.43147</v>
      </c>
      <c r="AC37" s="28" t="n">
        <v>5.618818</v>
      </c>
    </row>
    <row r="38">
      <c r="C38" s="10" t="n">
        <v>1999</v>
      </c>
      <c r="D38" s="29" t="n">
        <v>5.081279</v>
      </c>
      <c r="E38" s="29" t="n">
        <v>5.414586</v>
      </c>
      <c r="F38" s="29" t="n">
        <v>4.840433</v>
      </c>
      <c r="G38" s="29" t="n">
        <v>4.699368</v>
      </c>
      <c r="H38" s="29" t="n">
        <v>4.143734</v>
      </c>
      <c r="I38" s="29" t="n">
        <v>4.211937</v>
      </c>
      <c r="J38" s="29" t="n">
        <v>4.185852</v>
      </c>
      <c r="K38" s="29" t="n">
        <v>3.947698</v>
      </c>
      <c r="L38" s="29" t="n">
        <v>4.430611</v>
      </c>
      <c r="M38" s="29" t="n">
        <v>5.186111</v>
      </c>
      <c r="N38" s="29" t="n">
        <v>6.011512</v>
      </c>
      <c r="O38" s="29" t="n">
        <v>5.883898</v>
      </c>
      <c r="Q38" s="28" t="n">
        <v>1978</v>
      </c>
      <c r="R38" s="28" t="n">
        <v>5.436177</v>
      </c>
      <c r="S38" s="28" t="n">
        <v>4.88596</v>
      </c>
      <c r="T38" s="28" t="n">
        <v>4.836355</v>
      </c>
      <c r="U38" s="28" t="n">
        <v>4.431909</v>
      </c>
      <c r="V38" s="28" t="n">
        <v>4.000109</v>
      </c>
      <c r="W38" s="28" t="n">
        <v>4.098063</v>
      </c>
      <c r="X38" s="28" t="n">
        <v>3.706244</v>
      </c>
      <c r="Y38" s="28" t="n">
        <v>4.139112</v>
      </c>
      <c r="Z38" s="28" t="n">
        <v>4.952346</v>
      </c>
      <c r="AA38" s="28" t="n">
        <v>5.39762</v>
      </c>
      <c r="AB38" s="28" t="n">
        <v>6.248055</v>
      </c>
      <c r="AC38" s="28" t="n">
        <v>4.757175</v>
      </c>
    </row>
    <row r="39">
      <c r="C39" s="10" t="n">
        <v>2000</v>
      </c>
      <c r="D39" s="29" t="n">
        <v>6.464198</v>
      </c>
      <c r="E39" s="29" t="n">
        <v>5.634661</v>
      </c>
      <c r="F39" s="29" t="n">
        <v>5.777421</v>
      </c>
      <c r="G39" s="29" t="n">
        <v>4.418497</v>
      </c>
      <c r="H39" s="29" t="n">
        <v>4.533015</v>
      </c>
      <c r="I39" s="29" t="n">
        <v>4.836743</v>
      </c>
      <c r="J39" s="29" t="n">
        <v>3.954494</v>
      </c>
      <c r="K39" s="29" t="n">
        <v>3.907987</v>
      </c>
      <c r="L39" s="29" t="n">
        <v>4.553105</v>
      </c>
      <c r="M39" s="29" t="n">
        <v>5.478405</v>
      </c>
      <c r="N39" s="29" t="n">
        <v>5.189292</v>
      </c>
      <c r="O39" s="29" t="n">
        <v>4.894273</v>
      </c>
      <c r="Q39" s="28" t="n">
        <v>1979</v>
      </c>
      <c r="R39" s="28" t="n">
        <v>4.810438</v>
      </c>
      <c r="S39" s="28" t="n">
        <v>5.1279</v>
      </c>
      <c r="T39" s="28" t="n">
        <v>5.503888</v>
      </c>
      <c r="U39" s="28" t="n">
        <v>4.063229</v>
      </c>
      <c r="V39" s="28" t="n">
        <v>4.609628</v>
      </c>
      <c r="W39" s="28" t="n">
        <v>3.988618</v>
      </c>
      <c r="X39" s="28" t="n">
        <v>3.861834</v>
      </c>
      <c r="Y39" s="28" t="n">
        <v>4.147062</v>
      </c>
      <c r="Z39" s="28" t="n">
        <v>5.116668</v>
      </c>
      <c r="AA39" s="28" t="n">
        <v>4.704711</v>
      </c>
      <c r="AB39" s="28" t="n">
        <v>5.170583</v>
      </c>
      <c r="AC39" s="28" t="n">
        <v>5.53058</v>
      </c>
    </row>
    <row r="40">
      <c r="C40" s="10" t="n">
        <v>2001</v>
      </c>
      <c r="D40" s="29" t="n">
        <v>4.998079</v>
      </c>
      <c r="E40" s="29" t="n">
        <v>5.546002</v>
      </c>
      <c r="F40" s="29" t="n">
        <v>4.348729</v>
      </c>
      <c r="G40" s="29" t="n">
        <v>4.455968</v>
      </c>
      <c r="H40" s="29" t="n">
        <v>4.464201</v>
      </c>
      <c r="I40" s="29" t="n">
        <v>4.08245</v>
      </c>
      <c r="J40" s="29" t="n">
        <v>4.244365</v>
      </c>
      <c r="K40" s="29" t="n">
        <v>4.103711</v>
      </c>
      <c r="L40" s="29" t="n">
        <v>4.438413</v>
      </c>
      <c r="M40" s="29" t="n">
        <v>5.070467</v>
      </c>
      <c r="N40" s="29" t="n">
        <v>6.473132</v>
      </c>
      <c r="O40" s="29" t="n">
        <v>5.353989</v>
      </c>
      <c r="Q40" s="28" t="n">
        <v>1980</v>
      </c>
      <c r="R40" s="28" t="n">
        <v>4.844987</v>
      </c>
      <c r="S40" s="28" t="n">
        <v>4.487027</v>
      </c>
      <c r="T40" s="28" t="n">
        <v>4.525973</v>
      </c>
      <c r="U40" s="28" t="n">
        <v>4.185169</v>
      </c>
      <c r="V40" s="28" t="n">
        <v>3.945357</v>
      </c>
      <c r="W40" s="28" t="n">
        <v>3.849653</v>
      </c>
      <c r="X40" s="28" t="n">
        <v>3.601737</v>
      </c>
      <c r="Y40" s="28" t="n">
        <v>4.028113</v>
      </c>
      <c r="Z40" s="28" t="n">
        <v>4.290195</v>
      </c>
      <c r="AA40" s="28" t="n">
        <v>5.363292</v>
      </c>
      <c r="AB40" s="28" t="n">
        <v>5.432647</v>
      </c>
      <c r="AC40" s="28" t="n">
        <v>5.716875</v>
      </c>
    </row>
    <row r="41">
      <c r="C41" s="10" t="n">
        <v>2002</v>
      </c>
      <c r="D41" s="29" t="n">
        <v>5.647786</v>
      </c>
      <c r="E41" s="29" t="n">
        <v>6.081507</v>
      </c>
      <c r="F41" s="29" t="n">
        <v>5.248039</v>
      </c>
      <c r="G41" s="29" t="n">
        <v>4.205329</v>
      </c>
      <c r="H41" s="29" t="n">
        <v>4.306559</v>
      </c>
      <c r="I41" s="29" t="n">
        <v>4.158972</v>
      </c>
      <c r="J41" s="29" t="n">
        <v>4.012716</v>
      </c>
      <c r="K41" s="29" t="n">
        <v>3.596812</v>
      </c>
      <c r="L41" s="29" t="n">
        <v>4.476195</v>
      </c>
      <c r="M41" s="29" t="n">
        <v>4.909371</v>
      </c>
      <c r="N41" s="29" t="n">
        <v>4.712768</v>
      </c>
      <c r="O41" s="29" t="n">
        <v>5.205576</v>
      </c>
      <c r="Q41" s="28" t="n">
        <v>1981</v>
      </c>
      <c r="R41" s="28" t="n">
        <v>5.838495</v>
      </c>
      <c r="S41" s="28" t="n">
        <v>5.074029</v>
      </c>
      <c r="T41" s="28" t="n">
        <v>4.780359</v>
      </c>
      <c r="U41" s="28" t="n">
        <v>4.690604</v>
      </c>
      <c r="V41" s="28" t="n">
        <v>3.750435</v>
      </c>
      <c r="W41" s="28" t="n">
        <v>4.421504</v>
      </c>
      <c r="X41" s="28" t="n">
        <v>4.026502</v>
      </c>
      <c r="Y41" s="28" t="n">
        <v>4.035872</v>
      </c>
      <c r="Z41" s="28" t="n">
        <v>4.205361</v>
      </c>
      <c r="AA41" s="28" t="n">
        <v>5.081938</v>
      </c>
      <c r="AB41" s="28" t="n">
        <v>5.665055</v>
      </c>
      <c r="AC41" s="28" t="n">
        <v>5.279187</v>
      </c>
    </row>
    <row r="42">
      <c r="C42" s="10" t="n">
        <v>2003</v>
      </c>
      <c r="D42" s="29" t="n">
        <v>5.501666</v>
      </c>
      <c r="E42" s="29" t="n">
        <v>4.931864</v>
      </c>
      <c r="F42" s="29" t="n">
        <v>5.301235</v>
      </c>
      <c r="G42" s="29" t="n">
        <v>4.825631</v>
      </c>
      <c r="H42" s="29" t="n">
        <v>4.233594</v>
      </c>
      <c r="I42" s="29" t="n">
        <v>3.938124</v>
      </c>
      <c r="J42" s="29" t="n">
        <v>3.56307</v>
      </c>
      <c r="K42" s="29" t="n">
        <v>4.370178</v>
      </c>
      <c r="L42" s="29" t="n">
        <v>4.814834</v>
      </c>
      <c r="M42" s="29" t="n">
        <v>4.907516</v>
      </c>
      <c r="N42" s="29" t="n">
        <v>4.718696</v>
      </c>
      <c r="O42" s="29" t="n">
        <v>6.293429</v>
      </c>
      <c r="Q42" s="28" t="n">
        <v>1982</v>
      </c>
      <c r="R42" s="28" t="n">
        <v>5.228836</v>
      </c>
      <c r="S42" s="28" t="n">
        <v>4.957295</v>
      </c>
      <c r="T42" s="28" t="n">
        <v>5.264047</v>
      </c>
      <c r="U42" s="28" t="n">
        <v>5.052791</v>
      </c>
      <c r="V42" s="28" t="n">
        <v>4.376776</v>
      </c>
      <c r="W42" s="28" t="n">
        <v>4.004618</v>
      </c>
      <c r="X42" s="28" t="n">
        <v>4.125364</v>
      </c>
      <c r="Y42" s="28" t="n">
        <v>4.231049</v>
      </c>
      <c r="Z42" s="28" t="n">
        <v>4.916038</v>
      </c>
      <c r="AA42" s="28" t="n">
        <v>4.815524</v>
      </c>
      <c r="AB42" s="28" t="n">
        <v>5.786332</v>
      </c>
      <c r="AC42" s="28" t="n">
        <v>5.684132</v>
      </c>
    </row>
    <row r="43">
      <c r="C43" s="10" t="n">
        <v>2004</v>
      </c>
      <c r="D43" s="29" t="n">
        <v>5.029869</v>
      </c>
      <c r="E43" s="29" t="n">
        <v>5.152585</v>
      </c>
      <c r="F43" s="29" t="n">
        <v>4.859719</v>
      </c>
      <c r="G43" s="29" t="n">
        <v>4.101037</v>
      </c>
      <c r="H43" s="29" t="n">
        <v>4.401191</v>
      </c>
      <c r="I43" s="29" t="n">
        <v>4.221613</v>
      </c>
      <c r="J43" s="29" t="n">
        <v>3.847625</v>
      </c>
      <c r="K43" s="29" t="n">
        <v>4.082215</v>
      </c>
      <c r="L43" s="29" t="n">
        <v>5.401029</v>
      </c>
      <c r="M43" s="29" t="n">
        <v>4.890461</v>
      </c>
      <c r="N43" s="29" t="n">
        <v>5.614655</v>
      </c>
      <c r="O43" s="29" t="n">
        <v>6.062335</v>
      </c>
      <c r="Q43" s="28" t="n">
        <v>1983</v>
      </c>
      <c r="R43" s="28" t="n">
        <v>6.300154</v>
      </c>
      <c r="S43" s="28" t="n">
        <v>5.201832</v>
      </c>
      <c r="T43" s="28" t="n">
        <v>4.816857</v>
      </c>
      <c r="U43" s="28" t="n">
        <v>4.171892</v>
      </c>
      <c r="V43" s="28" t="n">
        <v>3.963187</v>
      </c>
      <c r="W43" s="28" t="n">
        <v>4.242764</v>
      </c>
      <c r="X43" s="28" t="n">
        <v>4.12663</v>
      </c>
      <c r="Y43" s="28" t="n">
        <v>4.55592</v>
      </c>
      <c r="Z43" s="28" t="n">
        <v>5.20571</v>
      </c>
      <c r="AA43" s="28" t="n">
        <v>6.110937</v>
      </c>
      <c r="AB43" s="28" t="n">
        <v>5.859767</v>
      </c>
      <c r="AC43" s="28" t="n">
        <v>5.620461</v>
      </c>
    </row>
    <row r="44">
      <c r="C44" s="10" t="n">
        <v>2005</v>
      </c>
      <c r="D44" s="29" t="n">
        <v>6.206084</v>
      </c>
      <c r="E44" s="29" t="n">
        <v>5.57197</v>
      </c>
      <c r="F44" s="29" t="n">
        <v>4.445258</v>
      </c>
      <c r="G44" s="29" t="n">
        <v>4.482718</v>
      </c>
      <c r="H44" s="29" t="n">
        <v>4.399851</v>
      </c>
      <c r="I44" s="29" t="n">
        <v>4.221295</v>
      </c>
      <c r="J44" s="29" t="n">
        <v>3.785974</v>
      </c>
      <c r="K44" s="29" t="n">
        <v>4.60076</v>
      </c>
      <c r="L44" s="29" t="n">
        <v>5.367935</v>
      </c>
      <c r="M44" s="29" t="n">
        <v>5.407816</v>
      </c>
      <c r="N44" s="29" t="n">
        <v>5.515316</v>
      </c>
      <c r="O44" s="29" t="n">
        <v>5.297709</v>
      </c>
      <c r="Q44" s="28" t="n">
        <v>1984</v>
      </c>
      <c r="R44" s="28" t="n">
        <v>5.760707</v>
      </c>
      <c r="S44" s="28" t="n">
        <v>5.496516</v>
      </c>
      <c r="T44" s="28" t="n">
        <v>4.573286</v>
      </c>
      <c r="U44" s="28" t="n">
        <v>4.322113</v>
      </c>
      <c r="V44" s="28" t="n">
        <v>3.947497</v>
      </c>
      <c r="W44" s="28" t="n">
        <v>4.304224</v>
      </c>
      <c r="X44" s="28" t="n">
        <v>3.854256</v>
      </c>
      <c r="Y44" s="28" t="n">
        <v>3.783048</v>
      </c>
      <c r="Z44" s="28" t="n">
        <v>4.323075</v>
      </c>
      <c r="AA44" s="28" t="n">
        <v>5.384656</v>
      </c>
      <c r="AB44" s="28" t="n">
        <v>4.97433</v>
      </c>
      <c r="AC44" s="28" t="n">
        <v>5.173641</v>
      </c>
    </row>
    <row r="45">
      <c r="C45" s="10" t="n">
        <v>2006</v>
      </c>
      <c r="D45" s="29" t="n">
        <v>5.889158</v>
      </c>
      <c r="E45" s="29" t="n">
        <v>4.894309</v>
      </c>
      <c r="F45" s="29" t="n">
        <v>4.645827</v>
      </c>
      <c r="G45" s="29" t="n">
        <v>4.445349</v>
      </c>
      <c r="H45" s="29" t="n">
        <v>4.30891</v>
      </c>
      <c r="I45" s="29" t="n">
        <v>4.282543</v>
      </c>
      <c r="J45" s="29" t="n">
        <v>3.946381</v>
      </c>
      <c r="K45" s="29" t="n">
        <v>3.75341</v>
      </c>
      <c r="L45" s="29" t="n">
        <v>4.706014</v>
      </c>
      <c r="M45" s="29" t="n">
        <v>4.941694</v>
      </c>
      <c r="N45" s="29" t="n">
        <v>5.805308</v>
      </c>
      <c r="O45" s="29" t="n">
        <v>6.406231</v>
      </c>
      <c r="Q45" s="28" t="n">
        <v>1985</v>
      </c>
      <c r="R45" s="28" t="n">
        <v>4.907791</v>
      </c>
      <c r="S45" s="28" t="n">
        <v>4.54592</v>
      </c>
      <c r="T45" s="28" t="n">
        <v>4.848546</v>
      </c>
      <c r="U45" s="28" t="n">
        <v>4.490912</v>
      </c>
      <c r="V45" s="28" t="n">
        <v>4.089833</v>
      </c>
      <c r="W45" s="28" t="n">
        <v>3.785789</v>
      </c>
      <c r="X45" s="28" t="n">
        <v>3.875168</v>
      </c>
      <c r="Y45" s="28" t="n">
        <v>4.303407</v>
      </c>
      <c r="Z45" s="28" t="n">
        <v>5.069705</v>
      </c>
      <c r="AA45" s="28" t="n">
        <v>5.604325</v>
      </c>
      <c r="AB45" s="28" t="n">
        <v>5.499664</v>
      </c>
      <c r="AC45" s="28" t="n">
        <v>4.803446</v>
      </c>
    </row>
    <row r="46">
      <c r="C46" s="10" t="n">
        <v>2007</v>
      </c>
      <c r="D46" s="29" t="n">
        <v>6.167325</v>
      </c>
      <c r="E46" s="29" t="n">
        <v>5.002429</v>
      </c>
      <c r="F46" s="29" t="n">
        <v>5.102684</v>
      </c>
      <c r="G46" s="29" t="n">
        <v>5.391376</v>
      </c>
      <c r="H46" s="29" t="n">
        <v>4.428632</v>
      </c>
      <c r="I46" s="29" t="n">
        <v>3.886196</v>
      </c>
      <c r="J46" s="29" t="n">
        <v>4.374761</v>
      </c>
      <c r="K46" s="29" t="n">
        <v>4.388302</v>
      </c>
      <c r="L46" s="29" t="n">
        <v>5.196362</v>
      </c>
      <c r="M46" s="29" t="n">
        <v>5.183537</v>
      </c>
      <c r="N46" s="29" t="n">
        <v>5.565393</v>
      </c>
      <c r="O46" s="29" t="n">
        <v>5.774116</v>
      </c>
      <c r="Q46" s="28" t="n">
        <v>1986</v>
      </c>
      <c r="R46" s="28" t="n">
        <v>4.942656</v>
      </c>
      <c r="S46" s="28" t="n">
        <v>4.61411</v>
      </c>
      <c r="T46" s="28" t="n">
        <v>5.369789</v>
      </c>
      <c r="U46" s="28" t="n">
        <v>4.404438</v>
      </c>
      <c r="V46" s="28" t="n">
        <v>4.370828</v>
      </c>
      <c r="W46" s="28" t="n">
        <v>4.207086</v>
      </c>
      <c r="X46" s="28" t="n">
        <v>4.01441</v>
      </c>
      <c r="Y46" s="28" t="n">
        <v>4.323571</v>
      </c>
      <c r="Z46" s="28" t="n">
        <v>4.878065</v>
      </c>
      <c r="AA46" s="28" t="n">
        <v>5.660592</v>
      </c>
      <c r="AB46" s="28" t="n">
        <v>5.789242</v>
      </c>
      <c r="AC46" s="28" t="n">
        <v>5.56061</v>
      </c>
    </row>
    <row r="47">
      <c r="C47" s="10" t="n">
        <v>2008</v>
      </c>
      <c r="D47" s="29" t="n">
        <v>6.320533</v>
      </c>
      <c r="E47" s="29" t="n">
        <v>6.098528</v>
      </c>
      <c r="F47" s="29" t="n">
        <v>5.14008</v>
      </c>
      <c r="G47" s="29" t="n">
        <v>4.252528</v>
      </c>
      <c r="H47" s="29" t="n">
        <v>3.784073</v>
      </c>
      <c r="I47" s="29" t="n">
        <v>4.373003</v>
      </c>
      <c r="J47" s="29" t="n">
        <v>3.848164</v>
      </c>
      <c r="K47" s="29" t="n">
        <v>4.433889</v>
      </c>
      <c r="L47" s="29" t="n">
        <v>4.50596</v>
      </c>
      <c r="M47" s="29" t="n">
        <v>5.921239</v>
      </c>
      <c r="N47" s="29" t="n">
        <v>5.706342</v>
      </c>
      <c r="O47" s="29" t="n">
        <v>5.305977</v>
      </c>
      <c r="Q47" s="28" t="n">
        <v>1987</v>
      </c>
      <c r="R47" s="28" t="n">
        <v>5.21282</v>
      </c>
      <c r="S47" s="28" t="n">
        <v>5.036762</v>
      </c>
      <c r="T47" s="28" t="n">
        <v>4.549715</v>
      </c>
      <c r="U47" s="28" t="n">
        <v>4.317597</v>
      </c>
      <c r="V47" s="28" t="n">
        <v>4.240158</v>
      </c>
      <c r="W47" s="28" t="n">
        <v>4.106649</v>
      </c>
      <c r="X47" s="28" t="n">
        <v>4.07418</v>
      </c>
      <c r="Y47" s="28" t="n">
        <v>4.268077</v>
      </c>
      <c r="Z47" s="28" t="n">
        <v>4.506751</v>
      </c>
      <c r="AA47" s="28" t="n">
        <v>5.835591</v>
      </c>
      <c r="AB47" s="28" t="n">
        <v>4.94832</v>
      </c>
      <c r="AC47" s="28" t="n">
        <v>5.337668</v>
      </c>
    </row>
    <row r="48">
      <c r="C48" s="10" t="n">
        <v>2009</v>
      </c>
      <c r="D48" s="29" t="n">
        <v>5.777749</v>
      </c>
      <c r="E48" s="29" t="n">
        <v>4.667359</v>
      </c>
      <c r="F48" s="29" t="n">
        <v>4.827327</v>
      </c>
      <c r="G48" s="29" t="n">
        <v>4.222262</v>
      </c>
      <c r="H48" s="29" t="n">
        <v>4.494826</v>
      </c>
      <c r="I48" s="29" t="n">
        <v>4.285071</v>
      </c>
      <c r="J48" s="29" t="n">
        <v>4.111867</v>
      </c>
      <c r="K48" s="29" t="n">
        <v>4.212637</v>
      </c>
      <c r="L48" s="29" t="n">
        <v>5.490897</v>
      </c>
      <c r="M48" s="29" t="n">
        <v>4.950869</v>
      </c>
      <c r="N48" s="29" t="n">
        <v>5.222508</v>
      </c>
      <c r="O48" s="29" t="n">
        <v>4.909579</v>
      </c>
      <c r="Q48" s="28" t="n">
        <v>1988</v>
      </c>
      <c r="R48" s="28" t="n">
        <v>5.564177</v>
      </c>
      <c r="S48" s="28" t="n">
        <v>5.098171</v>
      </c>
      <c r="T48" s="28" t="n">
        <v>4.235424</v>
      </c>
      <c r="U48" s="28" t="n">
        <v>4.586005</v>
      </c>
      <c r="V48" s="28" t="n">
        <v>3.830967</v>
      </c>
      <c r="W48" s="28" t="n">
        <v>3.744125</v>
      </c>
      <c r="X48" s="28" t="n">
        <v>3.987557</v>
      </c>
      <c r="Y48" s="28" t="n">
        <v>4.148123</v>
      </c>
      <c r="Z48" s="28" t="n">
        <v>5.113809</v>
      </c>
      <c r="AA48" s="28" t="n">
        <v>5.581181</v>
      </c>
      <c r="AB48" s="28" t="n">
        <v>5.727379</v>
      </c>
      <c r="AC48" s="28" t="n">
        <v>5.812562</v>
      </c>
    </row>
    <row r="49">
      <c r="C49" s="10" t="n">
        <v>2010</v>
      </c>
      <c r="D49" s="29" t="n">
        <v>5.194663</v>
      </c>
      <c r="E49" s="29" t="n">
        <v>4.534756</v>
      </c>
      <c r="F49" s="29" t="n">
        <v>4.857435</v>
      </c>
      <c r="G49" s="29" t="n">
        <v>4.353739</v>
      </c>
      <c r="H49" s="29" t="n">
        <v>4.01473</v>
      </c>
      <c r="I49" s="29" t="n">
        <v>4.222603</v>
      </c>
      <c r="J49" s="29" t="n">
        <v>4.260466</v>
      </c>
      <c r="K49" s="29" t="n">
        <v>4.140135</v>
      </c>
      <c r="L49" s="29" t="n">
        <v>4.502652</v>
      </c>
      <c r="M49" s="29" t="n">
        <v>5.507437</v>
      </c>
      <c r="N49" s="29" t="n">
        <v>5.135893</v>
      </c>
      <c r="O49" s="29" t="n">
        <v>5.071414</v>
      </c>
      <c r="Q49" s="28" t="n">
        <v>1989</v>
      </c>
      <c r="R49" s="28" t="n">
        <v>6.423971</v>
      </c>
      <c r="S49" s="28" t="n">
        <v>6.455352</v>
      </c>
      <c r="T49" s="28" t="n">
        <v>5.172587</v>
      </c>
      <c r="U49" s="28" t="n">
        <v>4.399767</v>
      </c>
      <c r="V49" s="28" t="n">
        <v>4.567346</v>
      </c>
      <c r="W49" s="28" t="n">
        <v>4.186878</v>
      </c>
      <c r="X49" s="28" t="n">
        <v>4.101491</v>
      </c>
      <c r="Y49" s="28" t="n">
        <v>4.409768</v>
      </c>
      <c r="Z49" s="28" t="n">
        <v>4.670854</v>
      </c>
      <c r="AA49" s="28" t="n">
        <v>4.843043</v>
      </c>
      <c r="AB49" s="28" t="n">
        <v>5.068738</v>
      </c>
      <c r="AC49" s="28" t="n">
        <v>5.645517</v>
      </c>
    </row>
    <row r="50">
      <c r="C50" s="10" t="n">
        <v>2011</v>
      </c>
      <c r="D50" s="29" t="n">
        <v>5.272299</v>
      </c>
      <c r="E50" s="29" t="n">
        <v>5.4089</v>
      </c>
      <c r="F50" s="29" t="n">
        <v>5.955222</v>
      </c>
      <c r="G50" s="29" t="n">
        <v>4.693535</v>
      </c>
      <c r="H50" s="29" t="n">
        <v>4.472018</v>
      </c>
      <c r="I50" s="29" t="n">
        <v>4.315571</v>
      </c>
      <c r="J50" s="29" t="n">
        <v>3.994553</v>
      </c>
      <c r="K50" s="29" t="n">
        <v>4.110623</v>
      </c>
      <c r="L50" s="29" t="n">
        <v>4.950986</v>
      </c>
      <c r="M50" s="29" t="n">
        <v>5.685357</v>
      </c>
      <c r="N50" s="29" t="n">
        <v>5.455561</v>
      </c>
      <c r="O50" s="29" t="n">
        <v>6.474084</v>
      </c>
      <c r="Q50" s="28" t="n">
        <v>1990</v>
      </c>
      <c r="R50" s="28" t="n">
        <v>5.628605</v>
      </c>
      <c r="S50" s="28" t="n">
        <v>6.359018</v>
      </c>
      <c r="T50" s="28" t="n">
        <v>6.33884</v>
      </c>
      <c r="U50" s="28" t="n">
        <v>4.786791</v>
      </c>
      <c r="V50" s="28" t="n">
        <v>4.290174</v>
      </c>
      <c r="W50" s="28" t="n">
        <v>3.930818</v>
      </c>
      <c r="X50" s="28" t="n">
        <v>4.181408</v>
      </c>
      <c r="Y50" s="28" t="n">
        <v>3.832927</v>
      </c>
      <c r="Z50" s="28" t="n">
        <v>4.732432</v>
      </c>
      <c r="AA50" s="28" t="n">
        <v>5.228391</v>
      </c>
      <c r="AB50" s="28" t="n">
        <v>4.909669</v>
      </c>
      <c r="AC50" s="28" t="n">
        <v>6.037655</v>
      </c>
    </row>
    <row r="51">
      <c r="C51" s="10" t="n">
        <v>2012</v>
      </c>
      <c r="D51" s="29" t="n">
        <v>5.54681</v>
      </c>
      <c r="E51" s="29" t="n">
        <v>5.586776</v>
      </c>
      <c r="F51" s="29" t="n">
        <v>5.474749</v>
      </c>
      <c r="G51" s="29" t="n">
        <v>4.631758</v>
      </c>
      <c r="H51" s="29" t="n">
        <v>4.732751</v>
      </c>
      <c r="I51" s="29" t="n">
        <v>4.20613</v>
      </c>
      <c r="J51" s="29" t="n">
        <v>4.280259</v>
      </c>
      <c r="K51" s="29" t="n">
        <v>3.892148</v>
      </c>
      <c r="L51" s="29" t="n">
        <v>5.167569</v>
      </c>
      <c r="M51" s="29" t="n">
        <v>4.836373</v>
      </c>
      <c r="N51" s="29" t="n">
        <v>5.440164</v>
      </c>
      <c r="O51" s="29" t="n">
        <v>5.134284</v>
      </c>
      <c r="Q51" s="28" t="n">
        <v>1991</v>
      </c>
      <c r="R51" s="28" t="n">
        <v>5.754893</v>
      </c>
      <c r="S51" s="28" t="n">
        <v>4.98737</v>
      </c>
      <c r="T51" s="28" t="n">
        <v>4.510568</v>
      </c>
      <c r="U51" s="28" t="n">
        <v>4.569995</v>
      </c>
      <c r="V51" s="28" t="n">
        <v>4.431604</v>
      </c>
      <c r="W51" s="28" t="n">
        <v>4.121621</v>
      </c>
      <c r="X51" s="28" t="n">
        <v>3.833447</v>
      </c>
      <c r="Y51" s="28" t="n">
        <v>3.947739</v>
      </c>
      <c r="Z51" s="28" t="n">
        <v>5.040375</v>
      </c>
      <c r="AA51" s="28" t="n">
        <v>4.786681</v>
      </c>
      <c r="AB51" s="28" t="n">
        <v>5.525613</v>
      </c>
      <c r="AC51" s="28" t="n">
        <v>6.127322</v>
      </c>
    </row>
    <row r="52">
      <c r="C52" s="10" t="n">
        <v>2013</v>
      </c>
      <c r="D52" s="29" t="n">
        <v>4.84691</v>
      </c>
      <c r="E52" s="29" t="n">
        <v>4.446784</v>
      </c>
      <c r="F52" s="29" t="n">
        <v>4.831104</v>
      </c>
      <c r="G52" s="29" t="n">
        <v>4.792007</v>
      </c>
      <c r="H52" s="29" t="n">
        <v>4.273543</v>
      </c>
      <c r="I52" s="29" t="n">
        <v>3.928759</v>
      </c>
      <c r="J52" s="29" t="n">
        <v>4.283454</v>
      </c>
      <c r="K52" s="29" t="n">
        <v>4.163354</v>
      </c>
      <c r="L52" s="29" t="n">
        <v>4.377995</v>
      </c>
      <c r="M52" s="29" t="n">
        <v>5.275414</v>
      </c>
      <c r="N52" s="29" t="n">
        <v>5.753252</v>
      </c>
      <c r="O52" s="29" t="n">
        <v>6.438419</v>
      </c>
      <c r="Q52" s="28" t="n">
        <v>1992</v>
      </c>
      <c r="R52" s="28" t="n">
        <v>6.328923</v>
      </c>
      <c r="S52" s="28" t="n">
        <v>5.626593</v>
      </c>
      <c r="T52" s="28" t="n">
        <v>5.313182</v>
      </c>
      <c r="U52" s="28" t="n">
        <v>4.725636</v>
      </c>
      <c r="V52" s="28" t="n">
        <v>4.200156</v>
      </c>
      <c r="W52" s="28" t="n">
        <v>4.163162</v>
      </c>
      <c r="X52" s="28" t="n">
        <v>4.211687</v>
      </c>
      <c r="Y52" s="28" t="n">
        <v>4.354244</v>
      </c>
      <c r="Z52" s="28" t="n">
        <v>4.282722</v>
      </c>
      <c r="AA52" s="28" t="n">
        <v>4.730546</v>
      </c>
      <c r="AB52" s="28" t="n">
        <v>5.517655</v>
      </c>
      <c r="AC52" s="28" t="n">
        <v>6.049516</v>
      </c>
    </row>
    <row r="53">
      <c r="C53" s="10" t="n">
        <v>2014</v>
      </c>
      <c r="D53" s="29" t="n">
        <v>5.697573</v>
      </c>
      <c r="E53" s="29" t="n">
        <v>5.339036</v>
      </c>
      <c r="F53" s="29" t="n">
        <v>5.489078</v>
      </c>
      <c r="G53" s="29" t="n">
        <v>4.785902</v>
      </c>
      <c r="H53" s="29" t="n">
        <v>4.210762</v>
      </c>
      <c r="I53" s="29" t="n">
        <v>4.125153</v>
      </c>
      <c r="J53" s="29" t="n">
        <v>3.547833</v>
      </c>
      <c r="K53" s="29" t="n">
        <v>4.300055</v>
      </c>
      <c r="L53" s="29" t="n">
        <v>4.417638</v>
      </c>
      <c r="M53" s="29" t="n">
        <v>5.377291</v>
      </c>
      <c r="N53" s="29" t="n">
        <v>4.771894</v>
      </c>
      <c r="O53" s="29" t="n">
        <v>5.763285</v>
      </c>
      <c r="Q53" s="28" t="n">
        <v>1993</v>
      </c>
      <c r="R53" s="28" t="n">
        <v>6.898677</v>
      </c>
      <c r="S53" s="28" t="n">
        <v>6.032732</v>
      </c>
      <c r="T53" s="28" t="n">
        <v>5.304902</v>
      </c>
      <c r="U53" s="28" t="n">
        <v>4.303218</v>
      </c>
      <c r="V53" s="28" t="n">
        <v>4.096457</v>
      </c>
      <c r="W53" s="28" t="n">
        <v>3.99529</v>
      </c>
      <c r="X53" s="28" t="n">
        <v>4.26906</v>
      </c>
      <c r="Y53" s="28" t="n">
        <v>4.236599</v>
      </c>
      <c r="Z53" s="28" t="n">
        <v>4.130944</v>
      </c>
      <c r="AA53" s="28" t="n">
        <v>5.33577</v>
      </c>
      <c r="AB53" s="28" t="n">
        <v>5.033507</v>
      </c>
      <c r="AC53" s="28" t="n">
        <v>5.561193</v>
      </c>
    </row>
    <row r="54">
      <c r="C54" s="10" t="n">
        <v>2015</v>
      </c>
      <c r="D54" s="29" t="n">
        <v>6.131632</v>
      </c>
      <c r="E54" s="29" t="n">
        <v>6.108417</v>
      </c>
      <c r="F54" s="29" t="n">
        <v>5.618127</v>
      </c>
      <c r="G54" s="29" t="n">
        <v>5.174736</v>
      </c>
      <c r="H54" s="29" t="n">
        <v>4.649753</v>
      </c>
      <c r="I54" s="29" t="n">
        <v>4.615399</v>
      </c>
      <c r="J54" s="29" t="n">
        <v>4.230449</v>
      </c>
      <c r="K54" s="29" t="n">
        <v>4.040996</v>
      </c>
      <c r="L54" s="29" t="n">
        <v>4.636075</v>
      </c>
      <c r="M54" s="29" t="n">
        <v>4.863105</v>
      </c>
      <c r="N54" s="29" t="n">
        <v>5.493894</v>
      </c>
      <c r="O54" s="29" t="n">
        <v>6.390138</v>
      </c>
      <c r="Q54" s="28" t="n">
        <v>1994</v>
      </c>
      <c r="R54" s="28" t="n">
        <v>5.267859</v>
      </c>
      <c r="S54" s="28" t="n">
        <v>4.507777</v>
      </c>
      <c r="T54" s="28" t="n">
        <v>5.49983</v>
      </c>
      <c r="U54" s="28" t="n">
        <v>4.610872</v>
      </c>
      <c r="V54" s="28" t="n">
        <v>4.130985</v>
      </c>
      <c r="W54" s="28" t="n">
        <v>4.590157</v>
      </c>
      <c r="X54" s="28" t="n">
        <v>3.620358</v>
      </c>
      <c r="Y54" s="28" t="n">
        <v>3.973482</v>
      </c>
      <c r="Z54" s="28" t="n">
        <v>4.627209</v>
      </c>
      <c r="AA54" s="28" t="n">
        <v>5.427444</v>
      </c>
      <c r="AB54" s="28" t="n">
        <v>5.322792</v>
      </c>
      <c r="AC54" s="28" t="n">
        <v>5.764321</v>
      </c>
    </row>
    <row r="55">
      <c r="C55" s="11" t="n">
        <v>2016</v>
      </c>
      <c r="D55" s="29" t="n">
        <v>5.183172</v>
      </c>
      <c r="E55" s="29" t="n">
        <v>5.319924</v>
      </c>
      <c r="F55" s="29" t="n">
        <v>4.627475</v>
      </c>
      <c r="G55" s="29" t="n">
        <v>4.365544</v>
      </c>
      <c r="H55" s="29" t="n">
        <v>4.074906</v>
      </c>
      <c r="I55" s="29" t="n">
        <v>4.261274</v>
      </c>
      <c r="J55" s="29" t="n">
        <v>3.941554</v>
      </c>
      <c r="K55" s="29" t="n">
        <v>4.375841</v>
      </c>
      <c r="L55" s="29" t="n">
        <v>4.307066</v>
      </c>
      <c r="M55" s="29" t="n">
        <v>4.907935</v>
      </c>
      <c r="N55" s="29" t="n">
        <v>5.46934</v>
      </c>
      <c r="O55" s="29" t="n">
        <v>6.018526</v>
      </c>
      <c r="Q55" s="28" t="n">
        <v>1995</v>
      </c>
      <c r="R55" s="28" t="n">
        <v>6.256045</v>
      </c>
      <c r="S55" s="28" t="n">
        <v>5.82993</v>
      </c>
      <c r="T55" s="28" t="n">
        <v>5.856872</v>
      </c>
      <c r="U55" s="28" t="n">
        <v>4.726485</v>
      </c>
      <c r="V55" s="28" t="n">
        <v>4.049683</v>
      </c>
      <c r="W55" s="28" t="n">
        <v>4.164031</v>
      </c>
      <c r="X55" s="28" t="n">
        <v>4.250803</v>
      </c>
      <c r="Y55" s="28" t="n">
        <v>4.490391</v>
      </c>
      <c r="Z55" s="28" t="n">
        <v>4.638102</v>
      </c>
      <c r="AA55" s="28" t="n">
        <v>5.397997</v>
      </c>
      <c r="AB55" s="28" t="n">
        <v>5.320658</v>
      </c>
      <c r="AC55" s="28" t="n">
        <v>4.903813</v>
      </c>
    </row>
    <row r="56">
      <c r="C56" s="11" t="n">
        <v>2017</v>
      </c>
      <c r="D56" s="29" t="n">
        <v>5.809958</v>
      </c>
      <c r="E56" s="29" t="n">
        <v>5.182191</v>
      </c>
      <c r="F56" s="29" t="n">
        <v>5.298039</v>
      </c>
      <c r="G56" s="29" t="n">
        <v>4.85556</v>
      </c>
      <c r="H56" s="29" t="n">
        <v>4.187047</v>
      </c>
      <c r="I56" s="29" t="n">
        <v>4.584325</v>
      </c>
      <c r="J56" s="29" t="n">
        <v>4.047602</v>
      </c>
      <c r="K56" s="29" t="n">
        <v>4.508986</v>
      </c>
      <c r="L56" s="29" t="n">
        <v>4.420324</v>
      </c>
      <c r="M56" s="29" t="n">
        <v>5.446234</v>
      </c>
      <c r="N56" s="29" t="n">
        <v>5.472232</v>
      </c>
      <c r="O56" s="29" t="n">
        <v>5.501752</v>
      </c>
      <c r="Q56" s="28" t="n">
        <v>1996</v>
      </c>
      <c r="R56" s="28" t="n">
        <v>4.776519</v>
      </c>
      <c r="S56" s="28" t="n">
        <v>5.339977</v>
      </c>
      <c r="T56" s="28" t="n">
        <v>4.417018</v>
      </c>
      <c r="U56" s="28" t="n">
        <v>4.129225</v>
      </c>
      <c r="V56" s="28" t="n">
        <v>4.376438</v>
      </c>
      <c r="W56" s="28" t="n">
        <v>4.283678</v>
      </c>
      <c r="X56" s="28" t="n">
        <v>4.178618</v>
      </c>
      <c r="Y56" s="28" t="n">
        <v>3.941181</v>
      </c>
      <c r="Z56" s="28" t="n">
        <v>4.586577</v>
      </c>
      <c r="AA56" s="28" t="n">
        <v>5.042127</v>
      </c>
      <c r="AB56" s="28" t="n">
        <v>5.256155</v>
      </c>
      <c r="AC56" s="28" t="n">
        <v>5.091258</v>
      </c>
    </row>
    <row r="57">
      <c r="C57" s="11" t="n">
        <v>2018</v>
      </c>
      <c r="D57" s="29" t="n">
        <v>5.361462</v>
      </c>
      <c r="E57" s="29" t="n">
        <v>4.833578</v>
      </c>
      <c r="F57" s="29" t="n">
        <v>4.715782</v>
      </c>
      <c r="G57" s="29" t="n">
        <v>4.158627</v>
      </c>
      <c r="H57" s="29" t="n">
        <v>4.23475</v>
      </c>
      <c r="I57" s="29" t="n">
        <v>4.77406</v>
      </c>
      <c r="J57" s="29" t="n">
        <v>3.700856</v>
      </c>
      <c r="K57" s="29" t="n">
        <v>4.44073</v>
      </c>
      <c r="L57" s="29" t="n">
        <v>5.475045</v>
      </c>
      <c r="M57" s="29" t="n">
        <v>5.446136</v>
      </c>
      <c r="N57" s="29" t="n">
        <v>5.117983</v>
      </c>
      <c r="O57" s="29" t="n">
        <v>5.199142</v>
      </c>
      <c r="Q57" s="28" t="n">
        <v>1997</v>
      </c>
      <c r="R57" s="28" t="n">
        <v>5.761095</v>
      </c>
      <c r="S57" s="28" t="n">
        <v>6.407013</v>
      </c>
      <c r="T57" s="28" t="n">
        <v>5.756592</v>
      </c>
      <c r="U57" s="28" t="n">
        <v>5.292287</v>
      </c>
      <c r="V57" s="28" t="n">
        <v>4.212755</v>
      </c>
      <c r="W57" s="28" t="n">
        <v>3.895572</v>
      </c>
      <c r="X57" s="28" t="n">
        <v>3.423277</v>
      </c>
      <c r="Y57" s="28" t="n">
        <v>3.886986</v>
      </c>
      <c r="Z57" s="28" t="n">
        <v>5.405722</v>
      </c>
      <c r="AA57" s="28" t="n">
        <v>5.162647</v>
      </c>
      <c r="AB57" s="28" t="n">
        <v>4.720897</v>
      </c>
      <c r="AC57" s="28" t="n">
        <v>4.635836</v>
      </c>
    </row>
    <row r="58">
      <c r="C58" s="11" t="n">
        <v>2019</v>
      </c>
      <c r="D58" s="29" t="n">
        <v>5.374557</v>
      </c>
      <c r="E58" s="29" t="n">
        <v>5.764945</v>
      </c>
      <c r="F58" s="29" t="n">
        <v>5.827123</v>
      </c>
      <c r="G58" s="29" t="n">
        <v>4.217348</v>
      </c>
      <c r="H58" s="29" t="n">
        <v>4.636843</v>
      </c>
      <c r="I58" s="29" t="n">
        <v>4.39862</v>
      </c>
      <c r="J58" s="29" t="n">
        <v>4.062912</v>
      </c>
      <c r="K58" s="29" t="n">
        <v>4.190059</v>
      </c>
      <c r="L58" s="29" t="n">
        <v>4.941893</v>
      </c>
      <c r="M58" s="29" t="n">
        <v>4.791058</v>
      </c>
      <c r="N58" s="29" t="n">
        <v>4.688792</v>
      </c>
      <c r="O58" s="29" t="n">
        <v>5.722636</v>
      </c>
      <c r="Q58" s="28" t="n">
        <v>1998</v>
      </c>
      <c r="R58" s="28" t="n">
        <v>5.330281</v>
      </c>
      <c r="S58" s="28" t="n">
        <v>6.130207</v>
      </c>
      <c r="T58" s="28" t="n">
        <v>5.048902</v>
      </c>
      <c r="U58" s="28" t="n">
        <v>4.045319</v>
      </c>
      <c r="V58" s="28" t="n">
        <v>4.182274</v>
      </c>
      <c r="W58" s="28" t="n">
        <v>4.290697</v>
      </c>
      <c r="X58" s="28" t="n">
        <v>4.082381</v>
      </c>
      <c r="Y58" s="28" t="n">
        <v>4.426212</v>
      </c>
      <c r="Z58" s="28" t="n">
        <v>4.51179</v>
      </c>
      <c r="AA58" s="28" t="n">
        <v>5.548517</v>
      </c>
      <c r="AB58" s="28" t="n">
        <v>4.610833</v>
      </c>
      <c r="AC58" s="28" t="n">
        <v>5.666272</v>
      </c>
    </row>
    <row r="59">
      <c r="C59" s="11" t="n">
        <v>2020</v>
      </c>
      <c r="D59" s="29" t="n">
        <v>6.609035</v>
      </c>
      <c r="E59" s="29" t="n">
        <v>6.232149</v>
      </c>
      <c r="F59" s="29" t="n">
        <v>5.956035</v>
      </c>
      <c r="G59" s="29" t="n">
        <v>5.212326</v>
      </c>
      <c r="H59" s="29" t="n">
        <v>4.496233</v>
      </c>
      <c r="I59" s="29" t="n">
        <v>4.023743</v>
      </c>
      <c r="J59" s="29" t="n">
        <v>4.305562</v>
      </c>
      <c r="K59" s="29" t="n">
        <v>3.924153</v>
      </c>
      <c r="L59" s="29" t="n">
        <v>5.29265</v>
      </c>
      <c r="M59" s="29" t="n">
        <v>5.028105</v>
      </c>
      <c r="N59" s="29" t="n">
        <v>6.104468</v>
      </c>
      <c r="O59" s="29" t="n">
        <v>5.364568</v>
      </c>
      <c r="Q59" s="28" t="n">
        <v>1999</v>
      </c>
      <c r="R59" s="28" t="n">
        <v>4.938238</v>
      </c>
      <c r="S59" s="28" t="n">
        <v>5.240775</v>
      </c>
      <c r="T59" s="28" t="n">
        <v>4.696288</v>
      </c>
      <c r="U59" s="28" t="n">
        <v>4.594047</v>
      </c>
      <c r="V59" s="28" t="n">
        <v>4.046073</v>
      </c>
      <c r="W59" s="28" t="n">
        <v>4.115309</v>
      </c>
      <c r="X59" s="28" t="n">
        <v>4.114863</v>
      </c>
      <c r="Y59" s="28" t="n">
        <v>3.839981</v>
      </c>
      <c r="Z59" s="28" t="n">
        <v>4.318453</v>
      </c>
      <c r="AA59" s="28" t="n">
        <v>5.063916</v>
      </c>
      <c r="AB59" s="28" t="n">
        <v>5.861065</v>
      </c>
      <c r="AC59" s="28" t="n">
        <v>5.72582</v>
      </c>
    </row>
    <row r="60">
      <c r="C60" s="11" t="n">
        <v>2021</v>
      </c>
      <c r="D60" s="29" t="n">
        <v>4.828815</v>
      </c>
      <c r="E60" s="29" t="n">
        <v>5.255482</v>
      </c>
      <c r="F60" s="29" t="n">
        <v>5.533117</v>
      </c>
      <c r="G60" s="29" t="n">
        <v>5.136371</v>
      </c>
      <c r="H60" s="29" t="n">
        <v>4.385921</v>
      </c>
      <c r="I60" s="29" t="n">
        <v>3.899437</v>
      </c>
      <c r="J60" s="29" t="n">
        <v>4.154558</v>
      </c>
      <c r="K60" s="29" t="n">
        <v>4.380578</v>
      </c>
      <c r="L60" s="29" t="n">
        <v>4.819156</v>
      </c>
      <c r="M60" s="29" t="n">
        <v>5.72985</v>
      </c>
      <c r="N60" s="29" t="n">
        <v>5.351692</v>
      </c>
      <c r="O60" s="29" t="n">
        <v>5.335713</v>
      </c>
      <c r="Q60" s="28" t="n">
        <v>2000</v>
      </c>
      <c r="R60" s="28" t="n">
        <v>6.281526</v>
      </c>
      <c r="S60" s="28" t="n">
        <v>5.464012</v>
      </c>
      <c r="T60" s="28" t="n">
        <v>5.634993</v>
      </c>
      <c r="U60" s="28" t="n">
        <v>4.292918</v>
      </c>
      <c r="V60" s="28" t="n">
        <v>4.456184</v>
      </c>
      <c r="W60" s="28" t="n">
        <v>4.720678</v>
      </c>
      <c r="X60" s="28" t="n">
        <v>3.867206</v>
      </c>
      <c r="Y60" s="28" t="n">
        <v>3.822212</v>
      </c>
      <c r="Z60" s="28" t="n">
        <v>4.426416</v>
      </c>
      <c r="AA60" s="28" t="n">
        <v>5.33426</v>
      </c>
      <c r="AB60" s="28" t="n">
        <v>5.047412</v>
      </c>
      <c r="AC60" s="28" t="n">
        <v>4.7233</v>
      </c>
    </row>
    <row r="61">
      <c r="C61" s="11" t="n">
        <v>2022</v>
      </c>
      <c r="D61" s="29" t="n">
        <v>6.41806</v>
      </c>
      <c r="E61" s="29" t="n">
        <v>6.020584</v>
      </c>
      <c r="F61" s="29" t="n">
        <v>5.036714</v>
      </c>
      <c r="G61" s="29" t="n">
        <v>4.618203</v>
      </c>
      <c r="H61" s="29" t="n">
        <v>4.692953</v>
      </c>
      <c r="I61" s="29" t="n">
        <v>4.123241</v>
      </c>
      <c r="J61" s="29" t="n">
        <v>4.33507</v>
      </c>
      <c r="K61" s="29" t="n">
        <v>4.284749</v>
      </c>
      <c r="L61" s="29" t="n">
        <v>4.505158</v>
      </c>
      <c r="M61" s="29" t="n">
        <v>5.122076</v>
      </c>
      <c r="N61" s="29" t="n">
        <v>4.933411</v>
      </c>
      <c r="O61" s="29" t="n">
        <v>5.269448</v>
      </c>
      <c r="Q61" s="28" t="n">
        <v>2001</v>
      </c>
      <c r="R61" s="28" t="n">
        <v>4.859075</v>
      </c>
      <c r="S61" s="28" t="n">
        <v>5.409674</v>
      </c>
      <c r="T61" s="28" t="n">
        <v>4.223244</v>
      </c>
      <c r="U61" s="28" t="n">
        <v>4.332406</v>
      </c>
      <c r="V61" s="28" t="n">
        <v>4.386986</v>
      </c>
      <c r="W61" s="28" t="n">
        <v>3.983061</v>
      </c>
      <c r="X61" s="28" t="n">
        <v>4.162468</v>
      </c>
      <c r="Y61" s="28" t="n">
        <v>4.019996</v>
      </c>
      <c r="Z61" s="28" t="n">
        <v>4.346186</v>
      </c>
      <c r="AA61" s="28" t="n">
        <v>4.932117</v>
      </c>
      <c r="AB61" s="28" t="n">
        <v>6.29493</v>
      </c>
      <c r="AC61" s="28" t="n">
        <v>5.220768</v>
      </c>
    </row>
    <row r="62">
      <c r="C62" s="11" t="n">
        <v>2023</v>
      </c>
      <c r="D62" s="29" t="n">
        <v>5.877036</v>
      </c>
      <c r="E62" s="29" t="n">
        <v>5.850293</v>
      </c>
      <c r="F62" s="29" t="n">
        <v>5.180973</v>
      </c>
      <c r="G62" s="29" t="n">
        <v>4.331084</v>
      </c>
      <c r="H62" s="29" t="n">
        <v>4.537476</v>
      </c>
      <c r="I62" s="29" t="n">
        <v>3.763991</v>
      </c>
      <c r="J62" s="29" t="n">
        <v>4.120315</v>
      </c>
      <c r="K62" s="29" t="n">
        <v>3.996778</v>
      </c>
      <c r="L62" s="29" t="n">
        <v>4.85099</v>
      </c>
      <c r="M62" s="29" t="n">
        <v>5.447571</v>
      </c>
      <c r="N62" s="29" t="n">
        <v>4.858012</v>
      </c>
      <c r="O62" s="29" t="n">
        <v>5.045836</v>
      </c>
      <c r="Q62" s="28" t="n">
        <v>2002</v>
      </c>
      <c r="R62" s="28" t="n">
        <v>5.498244</v>
      </c>
      <c r="S62" s="28" t="n">
        <v>5.916036</v>
      </c>
      <c r="T62" s="28" t="n">
        <v>5.103527</v>
      </c>
      <c r="U62" s="28" t="n">
        <v>4.094473</v>
      </c>
      <c r="V62" s="28" t="n">
        <v>4.199993</v>
      </c>
      <c r="W62" s="28" t="n">
        <v>4.072505</v>
      </c>
      <c r="X62" s="28" t="n">
        <v>3.931167</v>
      </c>
      <c r="Y62" s="28" t="n">
        <v>3.513502</v>
      </c>
      <c r="Z62" s="28" t="n">
        <v>4.387183</v>
      </c>
      <c r="AA62" s="28" t="n">
        <v>4.79493</v>
      </c>
      <c r="AB62" s="28" t="n">
        <v>4.595366</v>
      </c>
      <c r="AC62" s="28" t="n">
        <v>5.068278</v>
      </c>
    </row>
    <row r="63">
      <c r="C63" s="11" t="n">
        <v>2024</v>
      </c>
      <c r="D63" s="29" t="n">
        <v>5.940959</v>
      </c>
      <c r="E63" s="29" t="n">
        <v>5.475647</v>
      </c>
      <c r="F63" s="29" t="n">
        <v>4.553717</v>
      </c>
      <c r="G63" s="29" t="n">
        <v>4.762125</v>
      </c>
      <c r="H63" s="29" t="n">
        <v>3.904403</v>
      </c>
      <c r="I63" s="29" t="n">
        <v>4.31655</v>
      </c>
      <c r="J63" s="29" t="n">
        <v>3.873881</v>
      </c>
      <c r="K63" s="29" t="n">
        <v>4.622899</v>
      </c>
      <c r="L63" s="29" t="n">
        <v>4.729383</v>
      </c>
      <c r="M63" s="29" t="n">
        <v>5.439469</v>
      </c>
      <c r="N63" s="29" t="n">
        <v>5.864489</v>
      </c>
      <c r="O63" s="29" t="n">
        <v>6.168306</v>
      </c>
      <c r="Q63" s="28" t="n">
        <v>2003</v>
      </c>
      <c r="R63" s="28" t="n">
        <v>5.354716</v>
      </c>
      <c r="S63" s="28" t="n">
        <v>4.785889</v>
      </c>
      <c r="T63" s="28" t="n">
        <v>5.172962</v>
      </c>
      <c r="U63" s="28" t="n">
        <v>4.723677</v>
      </c>
      <c r="V63" s="28" t="n">
        <v>4.148046</v>
      </c>
      <c r="W63" s="28" t="n">
        <v>3.874232</v>
      </c>
      <c r="X63" s="28" t="n">
        <v>3.469142</v>
      </c>
      <c r="Y63" s="28" t="n">
        <v>4.269147</v>
      </c>
      <c r="Z63" s="28" t="n">
        <v>4.707187</v>
      </c>
      <c r="AA63" s="28" t="n">
        <v>4.803615</v>
      </c>
      <c r="AB63" s="28" t="n">
        <v>4.565595</v>
      </c>
      <c r="AC63" s="28" t="n">
        <v>6.142971</v>
      </c>
    </row>
    <row r="64">
      <c r="C64" s="12" t="n">
        <v>2025</v>
      </c>
      <c r="D64" s="29" t="n">
        <v>5.623976</v>
      </c>
      <c r="E64" s="29" t="n">
        <v>5.135806</v>
      </c>
      <c r="F64" s="29" t="n">
        <v>5.189425</v>
      </c>
      <c r="G64" s="29" t="n">
        <v>4.598088</v>
      </c>
      <c r="H64" s="29" t="n">
        <v>4.6829</v>
      </c>
      <c r="I64" s="29" t="n">
        <v>4.613909</v>
      </c>
      <c r="J64" s="29" t="n">
        <v>3.680057</v>
      </c>
      <c r="K64" s="29" t="n">
        <v>4.538955</v>
      </c>
      <c r="L64" s="29" t="n">
        <v>4.74447</v>
      </c>
      <c r="M64" s="29" t="n">
        <v>5.295982</v>
      </c>
      <c r="N64" s="29" t="n">
        <v>5.106323</v>
      </c>
      <c r="O64" s="29" t="n">
        <v>5.703945</v>
      </c>
      <c r="Q64" s="28" t="n">
        <v>2004</v>
      </c>
      <c r="R64" s="28" t="n">
        <v>4.868066</v>
      </c>
      <c r="S64" s="28" t="n">
        <v>4.999429</v>
      </c>
      <c r="T64" s="28" t="n">
        <v>4.749667</v>
      </c>
      <c r="U64" s="28" t="n">
        <v>3.988059</v>
      </c>
      <c r="V64" s="28" t="n">
        <v>4.307111</v>
      </c>
      <c r="W64" s="28" t="n">
        <v>4.134213</v>
      </c>
      <c r="X64" s="28" t="n">
        <v>3.77076</v>
      </c>
      <c r="Y64" s="28" t="n">
        <v>4.005147</v>
      </c>
      <c r="Z64" s="28" t="n">
        <v>5.263612</v>
      </c>
      <c r="AA64" s="28" t="n">
        <v>4.760265</v>
      </c>
      <c r="AB64" s="28" t="n">
        <v>5.466759</v>
      </c>
      <c r="AC64" s="28" t="n">
        <v>5.899921</v>
      </c>
    </row>
    <row r="65">
      <c r="C65" s="22" t="n">
        <v>2026</v>
      </c>
      <c r="D65" s="29" t="n">
        <v>5.045156</v>
      </c>
      <c r="E65" s="29" t="n">
        <v>4.69945</v>
      </c>
      <c r="F65" s="29" t="n">
        <v>5.432668</v>
      </c>
      <c r="G65" s="29" t="n">
        <v>4.90128</v>
      </c>
      <c r="H65" s="29" t="n">
        <v>4.299033641815186</v>
      </c>
      <c r="I65" s="29" t="n">
        <v>4.138603687286377</v>
      </c>
      <c r="J65" s="29" t="n"/>
      <c r="K65" s="29" t="n"/>
      <c r="L65" s="29" t="n"/>
      <c r="M65" s="29" t="n"/>
      <c r="N65" s="29" t="n"/>
      <c r="O65" s="29" t="n"/>
      <c r="Q65" s="28" t="n">
        <v>2005</v>
      </c>
      <c r="R65" s="28" t="n">
        <v>6.015308</v>
      </c>
      <c r="S65" s="28" t="n">
        <v>5.419555</v>
      </c>
      <c r="T65" s="28" t="n">
        <v>4.331008</v>
      </c>
      <c r="U65" s="28" t="n">
        <v>4.357222</v>
      </c>
      <c r="V65" s="28" t="n">
        <v>4.281648</v>
      </c>
      <c r="W65" s="28" t="n">
        <v>4.125454</v>
      </c>
      <c r="X65" s="28" t="n">
        <v>3.680934</v>
      </c>
      <c r="Y65" s="28" t="n">
        <v>4.484056</v>
      </c>
      <c r="Z65" s="28" t="n">
        <v>5.222004</v>
      </c>
      <c r="AA65" s="28" t="n">
        <v>5.265479</v>
      </c>
      <c r="AB65" s="28" t="n">
        <v>5.362928</v>
      </c>
      <c r="AC65" s="28" t="n">
        <v>5.147027</v>
      </c>
    </row>
    <row r="66">
      <c r="C66" s="7" t="inlineStr">
        <is>
          <t>50Y Avg</t>
        </is>
      </c>
      <c r="D66" s="30">
        <f>AVERAGE(D15:D64)</f>
        <v/>
      </c>
      <c r="E66" s="30">
        <f>AVERAGE(E15:E64)</f>
        <v/>
      </c>
      <c r="F66" s="30">
        <f>AVERAGE(F15:F64)</f>
        <v/>
      </c>
      <c r="G66" s="30">
        <f>AVERAGE(G15:G64)</f>
        <v/>
      </c>
      <c r="H66" s="30">
        <f>AVERAGE(H15:H64)</f>
        <v/>
      </c>
      <c r="I66" s="30">
        <f>AVERAGE(I15:I64)</f>
        <v/>
      </c>
      <c r="J66" s="30">
        <f>AVERAGE(J15:J64)</f>
        <v/>
      </c>
      <c r="K66" s="30">
        <f>AVERAGE(K15:K64)</f>
        <v/>
      </c>
      <c r="L66" s="30">
        <f>AVERAGE(L15:L64)</f>
        <v/>
      </c>
      <c r="M66" s="30">
        <f>AVERAGE(M15:M64)</f>
        <v/>
      </c>
      <c r="N66" s="30">
        <f>AVERAGE(N15:N64)</f>
        <v/>
      </c>
      <c r="O66" s="30">
        <f>AVERAGE(O15:O64)</f>
        <v/>
      </c>
      <c r="Q66" s="28" t="n">
        <v>2006</v>
      </c>
      <c r="R66" s="28" t="n">
        <v>5.693882</v>
      </c>
      <c r="S66" s="28" t="n">
        <v>4.736461</v>
      </c>
      <c r="T66" s="28" t="n">
        <v>4.491339</v>
      </c>
      <c r="U66" s="28" t="n">
        <v>4.30064</v>
      </c>
      <c r="V66" s="28" t="n">
        <v>4.202546</v>
      </c>
      <c r="W66" s="28" t="n">
        <v>4.189874</v>
      </c>
      <c r="X66" s="28" t="n">
        <v>3.875823</v>
      </c>
      <c r="Y66" s="28" t="n">
        <v>3.667152</v>
      </c>
      <c r="Z66" s="28" t="n">
        <v>4.602786</v>
      </c>
      <c r="AA66" s="28" t="n">
        <v>4.818679</v>
      </c>
      <c r="AB66" s="28" t="n">
        <v>5.622772</v>
      </c>
      <c r="AC66" s="28" t="n">
        <v>6.263391</v>
      </c>
    </row>
    <row r="67">
      <c r="C67" s="8" t="inlineStr">
        <is>
          <t>Min</t>
        </is>
      </c>
      <c r="D67" s="31">
        <f>MIN(D15:D64)</f>
        <v/>
      </c>
      <c r="E67" s="31">
        <f>MIN(E15:E64)</f>
        <v/>
      </c>
      <c r="F67" s="31">
        <f>MIN(F15:F64)</f>
        <v/>
      </c>
      <c r="G67" s="31">
        <f>MIN(G15:G64)</f>
        <v/>
      </c>
      <c r="H67" s="31">
        <f>MIN(H15:H64)</f>
        <v/>
      </c>
      <c r="I67" s="31">
        <f>MIN(I15:I64)</f>
        <v/>
      </c>
      <c r="J67" s="31">
        <f>MIN(J15:J64)</f>
        <v/>
      </c>
      <c r="K67" s="31">
        <f>MIN(K15:K64)</f>
        <v/>
      </c>
      <c r="L67" s="31">
        <f>MIN(L15:L64)</f>
        <v/>
      </c>
      <c r="M67" s="31">
        <f>MIN(M15:M64)</f>
        <v/>
      </c>
      <c r="N67" s="31">
        <f>MIN(N15:N64)</f>
        <v/>
      </c>
      <c r="O67" s="31">
        <f>MIN(O15:O64)</f>
        <v/>
      </c>
      <c r="Q67" s="28" t="n">
        <v>2007</v>
      </c>
      <c r="R67" s="28" t="n">
        <v>5.986948</v>
      </c>
      <c r="S67" s="28" t="n">
        <v>4.852854</v>
      </c>
      <c r="T67" s="28" t="n">
        <v>4.936197</v>
      </c>
      <c r="U67" s="28" t="n">
        <v>5.269138</v>
      </c>
      <c r="V67" s="28" t="n">
        <v>4.328091</v>
      </c>
      <c r="W67" s="28" t="n">
        <v>3.810183</v>
      </c>
      <c r="X67" s="28" t="n">
        <v>4.290492</v>
      </c>
      <c r="Y67" s="28" t="n">
        <v>4.279333</v>
      </c>
      <c r="Z67" s="28" t="n">
        <v>5.046539</v>
      </c>
      <c r="AA67" s="28" t="n">
        <v>5.041188</v>
      </c>
      <c r="AB67" s="28" t="n">
        <v>5.394801</v>
      </c>
      <c r="AC67" s="28" t="n">
        <v>5.635256</v>
      </c>
    </row>
    <row r="68">
      <c r="C68" s="8" t="inlineStr">
        <is>
          <t>50Y Range</t>
        </is>
      </c>
      <c r="D68" s="31">
        <f>D69-D67</f>
        <v/>
      </c>
      <c r="E68" s="31">
        <f>E69-E67</f>
        <v/>
      </c>
      <c r="F68" s="31">
        <f>F69-F67</f>
        <v/>
      </c>
      <c r="G68" s="31">
        <f>G69-G67</f>
        <v/>
      </c>
      <c r="H68" s="31">
        <f>H69-H67</f>
        <v/>
      </c>
      <c r="I68" s="31">
        <f>I69-I67</f>
        <v/>
      </c>
      <c r="J68" s="31">
        <f>J69-J67</f>
        <v/>
      </c>
      <c r="K68" s="31">
        <f>K69-K67</f>
        <v/>
      </c>
      <c r="L68" s="31">
        <f>L69-L67</f>
        <v/>
      </c>
      <c r="M68" s="31">
        <f>M69-M67</f>
        <v/>
      </c>
      <c r="N68" s="31">
        <f>N69-N67</f>
        <v/>
      </c>
      <c r="O68" s="31">
        <f>O69-O67</f>
        <v/>
      </c>
      <c r="Q68" s="28" t="n">
        <v>2008</v>
      </c>
      <c r="R68" s="28" t="n">
        <v>6.161224</v>
      </c>
      <c r="S68" s="28" t="n">
        <v>5.932225</v>
      </c>
      <c r="T68" s="28" t="n">
        <v>4.977899</v>
      </c>
      <c r="U68" s="28" t="n">
        <v>4.138319</v>
      </c>
      <c r="V68" s="28" t="n">
        <v>3.701914</v>
      </c>
      <c r="W68" s="28" t="n">
        <v>4.280978</v>
      </c>
      <c r="X68" s="28" t="n">
        <v>3.764674</v>
      </c>
      <c r="Y68" s="28" t="n">
        <v>4.352248</v>
      </c>
      <c r="Z68" s="28" t="n">
        <v>4.396943</v>
      </c>
      <c r="AA68" s="28" t="n">
        <v>5.761312</v>
      </c>
      <c r="AB68" s="28" t="n">
        <v>5.559228</v>
      </c>
      <c r="AC68" s="28" t="n">
        <v>5.16438</v>
      </c>
    </row>
    <row r="69">
      <c r="C69" s="9" t="inlineStr">
        <is>
          <t>Max</t>
        </is>
      </c>
      <c r="D69" s="32">
        <f>MAX(D15:D64)</f>
        <v/>
      </c>
      <c r="E69" s="32">
        <f>MAX(E15:E64)</f>
        <v/>
      </c>
      <c r="F69" s="32">
        <f>MAX(F15:F64)</f>
        <v/>
      </c>
      <c r="G69" s="32">
        <f>MAX(G15:G64)</f>
        <v/>
      </c>
      <c r="H69" s="32">
        <f>MAX(H15:H64)</f>
        <v/>
      </c>
      <c r="I69" s="32">
        <f>MAX(I15:I64)</f>
        <v/>
      </c>
      <c r="J69" s="32">
        <f>MAX(J15:J64)</f>
        <v/>
      </c>
      <c r="K69" s="32">
        <f>MAX(K15:K64)</f>
        <v/>
      </c>
      <c r="L69" s="32">
        <f>MAX(L15:L64)</f>
        <v/>
      </c>
      <c r="M69" s="32">
        <f>MAX(M15:M64)</f>
        <v/>
      </c>
      <c r="N69" s="32">
        <f>MAX(N15:N64)</f>
        <v/>
      </c>
      <c r="O69" s="32">
        <f>MAX(O15:O64)</f>
        <v/>
      </c>
      <c r="Q69" s="28" t="n">
        <v>2009</v>
      </c>
      <c r="R69" s="28" t="n">
        <v>5.582113</v>
      </c>
      <c r="S69" s="28" t="n">
        <v>4.545336</v>
      </c>
      <c r="T69" s="28" t="n">
        <v>4.693141</v>
      </c>
      <c r="U69" s="28" t="n">
        <v>4.121848</v>
      </c>
      <c r="V69" s="28" t="n">
        <v>4.387633</v>
      </c>
      <c r="W69" s="28" t="n">
        <v>4.205203</v>
      </c>
      <c r="X69" s="28" t="n">
        <v>4.017958</v>
      </c>
      <c r="Y69" s="28" t="n">
        <v>4.097515</v>
      </c>
      <c r="Z69" s="28" t="n">
        <v>5.358686</v>
      </c>
      <c r="AA69" s="28" t="n">
        <v>4.815605</v>
      </c>
      <c r="AB69" s="28" t="n">
        <v>5.083493</v>
      </c>
      <c r="AC69" s="28" t="n">
        <v>4.77897</v>
      </c>
    </row>
    <row r="70">
      <c r="D70" s="33">
        <f>D65/D66-1</f>
        <v/>
      </c>
      <c r="E70" s="33">
        <f>E65/E66-1</f>
        <v/>
      </c>
      <c r="Q70" s="28" t="n">
        <v>2010</v>
      </c>
      <c r="R70" s="28" t="n">
        <v>5.034751</v>
      </c>
      <c r="S70" s="28" t="n">
        <v>4.415201</v>
      </c>
      <c r="T70" s="28" t="n">
        <v>4.727046</v>
      </c>
      <c r="U70" s="28" t="n">
        <v>4.229084</v>
      </c>
      <c r="V70" s="28" t="n">
        <v>3.933515</v>
      </c>
      <c r="W70" s="28" t="n">
        <v>4.142083</v>
      </c>
      <c r="X70" s="28" t="n">
        <v>4.157568</v>
      </c>
      <c r="Y70" s="28" t="n">
        <v>4.055736</v>
      </c>
      <c r="Z70" s="28" t="n">
        <v>4.391513</v>
      </c>
      <c r="AA70" s="28" t="n">
        <v>5.363922</v>
      </c>
      <c r="AB70" s="28" t="n">
        <v>5.028002</v>
      </c>
      <c r="AC70" s="28" t="n">
        <v>4.961334</v>
      </c>
    </row>
    <row r="71">
      <c r="B71" s="24" t="inlineStr">
        <is>
          <t>Monthly Reanalysis Fields</t>
        </is>
      </c>
      <c r="Q71" s="28" t="n">
        <v>2011</v>
      </c>
      <c r="R71" s="28" t="n">
        <v>5.130213</v>
      </c>
      <c r="S71" s="28" t="n">
        <v>5.235821</v>
      </c>
      <c r="T71" s="28" t="n">
        <v>5.811675</v>
      </c>
      <c r="U71" s="28" t="n">
        <v>4.571863</v>
      </c>
      <c r="V71" s="28" t="n">
        <v>4.366781</v>
      </c>
      <c r="W71" s="28" t="n">
        <v>4.237372</v>
      </c>
      <c r="X71" s="28" t="n">
        <v>3.883112</v>
      </c>
      <c r="Y71" s="28" t="n">
        <v>4.017761</v>
      </c>
      <c r="Z71" s="28" t="n">
        <v>4.836074</v>
      </c>
      <c r="AA71" s="28" t="n">
        <v>5.508735</v>
      </c>
      <c r="AB71" s="28" t="n">
        <v>5.291472</v>
      </c>
      <c r="AC71" s="28" t="n">
        <v>6.303946</v>
      </c>
    </row>
    <row r="72">
      <c r="B72" s="28" t="inlineStr">
        <is>
          <t>m/s</t>
        </is>
      </c>
      <c r="Q72" s="28" t="n">
        <v>2012</v>
      </c>
      <c r="R72" s="28" t="n">
        <v>5.37482</v>
      </c>
      <c r="S72" s="28" t="n">
        <v>5.411201</v>
      </c>
      <c r="T72" s="28" t="n">
        <v>5.340259</v>
      </c>
      <c r="U72" s="28" t="n">
        <v>4.507842</v>
      </c>
      <c r="V72" s="28" t="n">
        <v>4.622991</v>
      </c>
      <c r="W72" s="28" t="n">
        <v>4.103608</v>
      </c>
      <c r="X72" s="28" t="n">
        <v>4.186165</v>
      </c>
      <c r="Y72" s="28" t="n">
        <v>3.815839</v>
      </c>
      <c r="Z72" s="28" t="n">
        <v>5.054527</v>
      </c>
      <c r="AA72" s="28" t="n">
        <v>4.71779</v>
      </c>
      <c r="AB72" s="28" t="n">
        <v>5.320089</v>
      </c>
      <c r="AC72" s="28" t="n">
        <v>5.017115</v>
      </c>
    </row>
    <row r="73">
      <c r="Q73" s="28" t="n">
        <v>2013</v>
      </c>
      <c r="R73" s="28" t="n">
        <v>4.733446</v>
      </c>
      <c r="S73" s="28" t="n">
        <v>4.315525</v>
      </c>
      <c r="T73" s="28" t="n">
        <v>4.72</v>
      </c>
      <c r="U73" s="28" t="n">
        <v>4.668911</v>
      </c>
      <c r="V73" s="28" t="n">
        <v>4.165434</v>
      </c>
      <c r="W73" s="28" t="n">
        <v>3.841945</v>
      </c>
      <c r="X73" s="28" t="n">
        <v>4.18888</v>
      </c>
      <c r="Y73" s="28" t="n">
        <v>4.045663</v>
      </c>
      <c r="Z73" s="28" t="n">
        <v>4.282562</v>
      </c>
      <c r="AA73" s="28" t="n">
        <v>5.133979</v>
      </c>
      <c r="AB73" s="28" t="n">
        <v>5.599675</v>
      </c>
      <c r="AC73" s="28" t="n">
        <v>6.244026</v>
      </c>
    </row>
    <row r="74">
      <c r="Q74" s="28" t="n">
        <v>2014</v>
      </c>
      <c r="R74" s="28" t="n">
        <v>5.512658</v>
      </c>
      <c r="S74" s="28" t="n">
        <v>5.163853</v>
      </c>
      <c r="T74" s="28" t="n">
        <v>5.349126</v>
      </c>
      <c r="U74" s="28" t="n">
        <v>4.672601</v>
      </c>
      <c r="V74" s="28" t="n">
        <v>4.116185</v>
      </c>
      <c r="W74" s="28" t="n">
        <v>4.032779</v>
      </c>
      <c r="X74" s="28" t="n">
        <v>3.475943</v>
      </c>
      <c r="Y74" s="28" t="n">
        <v>4.189061</v>
      </c>
      <c r="Z74" s="28" t="n">
        <v>4.318901</v>
      </c>
      <c r="AA74" s="28" t="n">
        <v>5.238235</v>
      </c>
      <c r="AB74" s="28" t="n">
        <v>4.637581</v>
      </c>
      <c r="AC74" s="28" t="n">
        <v>5.59649</v>
      </c>
    </row>
    <row r="75">
      <c r="Q75" s="28" t="n">
        <v>2015</v>
      </c>
      <c r="R75" s="28" t="n">
        <v>5.959002</v>
      </c>
      <c r="S75" s="28" t="n">
        <v>5.934361</v>
      </c>
      <c r="T75" s="28" t="n">
        <v>5.488831</v>
      </c>
      <c r="U75" s="28" t="n">
        <v>5.05335</v>
      </c>
      <c r="V75" s="28" t="n">
        <v>4.541633</v>
      </c>
      <c r="W75" s="28" t="n">
        <v>4.531378</v>
      </c>
      <c r="X75" s="28" t="n">
        <v>4.139963</v>
      </c>
      <c r="Y75" s="28" t="n">
        <v>3.936554</v>
      </c>
      <c r="Z75" s="28" t="n">
        <v>4.540507</v>
      </c>
      <c r="AA75" s="28" t="n">
        <v>4.732039</v>
      </c>
      <c r="AB75" s="28" t="n">
        <v>5.336552</v>
      </c>
      <c r="AC75" s="28" t="n">
        <v>6.204946</v>
      </c>
    </row>
    <row r="76">
      <c r="Q76" s="28" t="n">
        <v>2016</v>
      </c>
      <c r="R76" s="28" t="n">
        <v>5.014095</v>
      </c>
      <c r="S76" s="28" t="n">
        <v>5.160123</v>
      </c>
      <c r="T76" s="28" t="n">
        <v>4.496116</v>
      </c>
      <c r="U76" s="28" t="n">
        <v>4.252812</v>
      </c>
      <c r="V76" s="28" t="n">
        <v>3.936238</v>
      </c>
      <c r="W76" s="28" t="n">
        <v>4.186899</v>
      </c>
      <c r="X76" s="28" t="n">
        <v>3.865216</v>
      </c>
      <c r="Y76" s="28" t="n">
        <v>4.304358</v>
      </c>
      <c r="Z76" s="28" t="n">
        <v>4.168718</v>
      </c>
      <c r="AA76" s="28" t="n">
        <v>4.820231</v>
      </c>
      <c r="AB76" s="28" t="n">
        <v>5.357326</v>
      </c>
      <c r="AC76" s="28" t="n">
        <v>5.849741</v>
      </c>
    </row>
    <row r="77">
      <c r="Q77" s="28" t="n">
        <v>2017</v>
      </c>
      <c r="R77" s="28" t="n">
        <v>5.638947</v>
      </c>
      <c r="S77" s="28" t="n">
        <v>5.029307</v>
      </c>
      <c r="T77" s="28" t="n">
        <v>5.167236</v>
      </c>
      <c r="U77" s="28" t="n">
        <v>4.730835</v>
      </c>
      <c r="V77" s="28" t="n">
        <v>4.102199</v>
      </c>
      <c r="W77" s="28" t="n">
        <v>4.506808</v>
      </c>
      <c r="X77" s="28" t="n">
        <v>3.977367</v>
      </c>
      <c r="Y77" s="28" t="n">
        <v>4.419831</v>
      </c>
      <c r="Z77" s="28" t="n">
        <v>4.329019</v>
      </c>
      <c r="AA77" s="28" t="n">
        <v>5.3018</v>
      </c>
      <c r="AB77" s="28" t="n">
        <v>5.30025</v>
      </c>
      <c r="AC77" s="28" t="n">
        <v>5.357759</v>
      </c>
    </row>
    <row r="78">
      <c r="Q78" s="28" t="n">
        <v>2018</v>
      </c>
      <c r="R78" s="28" t="n">
        <v>5.207724</v>
      </c>
      <c r="S78" s="28" t="n">
        <v>4.682021</v>
      </c>
      <c r="T78" s="28" t="n">
        <v>4.586789</v>
      </c>
      <c r="U78" s="28" t="n">
        <v>4.069037</v>
      </c>
      <c r="V78" s="28" t="n">
        <v>4.125361</v>
      </c>
      <c r="W78" s="28" t="n">
        <v>4.678648</v>
      </c>
      <c r="X78" s="28" t="n">
        <v>3.611291</v>
      </c>
      <c r="Y78" s="28" t="n">
        <v>4.357886</v>
      </c>
      <c r="Z78" s="28" t="n">
        <v>5.337283</v>
      </c>
      <c r="AA78" s="28" t="n">
        <v>5.290949</v>
      </c>
      <c r="AB78" s="28" t="n">
        <v>4.973785</v>
      </c>
      <c r="AC78" s="28" t="n">
        <v>5.03732</v>
      </c>
    </row>
    <row r="79">
      <c r="Q79" s="28" t="n">
        <v>2019</v>
      </c>
      <c r="R79" s="28" t="n">
        <v>5.212444</v>
      </c>
      <c r="S79" s="28" t="n">
        <v>5.633489</v>
      </c>
      <c r="T79" s="28" t="n">
        <v>5.680931</v>
      </c>
      <c r="U79" s="28" t="n">
        <v>4.126409</v>
      </c>
      <c r="V79" s="28" t="n">
        <v>4.532933</v>
      </c>
      <c r="W79" s="28" t="n">
        <v>4.305542</v>
      </c>
      <c r="X79" s="28" t="n">
        <v>3.973984</v>
      </c>
      <c r="Y79" s="28" t="n">
        <v>4.079122</v>
      </c>
      <c r="Z79" s="28" t="n">
        <v>4.816605</v>
      </c>
      <c r="AA79" s="28" t="n">
        <v>4.672251</v>
      </c>
      <c r="AB79" s="28" t="n">
        <v>4.590757</v>
      </c>
      <c r="AC79" s="28" t="n">
        <v>5.571996</v>
      </c>
    </row>
    <row r="80">
      <c r="Q80" s="28" t="n">
        <v>2020</v>
      </c>
      <c r="R80" s="28" t="n">
        <v>6.429807</v>
      </c>
      <c r="S80" s="28" t="n">
        <v>6.077374</v>
      </c>
      <c r="T80" s="28" t="n">
        <v>5.8001</v>
      </c>
      <c r="U80" s="28" t="n">
        <v>5.105359</v>
      </c>
      <c r="V80" s="28" t="n">
        <v>4.391807</v>
      </c>
      <c r="W80" s="28" t="n">
        <v>3.934084</v>
      </c>
      <c r="X80" s="28" t="n">
        <v>4.230863</v>
      </c>
      <c r="Y80" s="28" t="n">
        <v>3.819694</v>
      </c>
      <c r="Z80" s="28" t="n">
        <v>5.17192</v>
      </c>
      <c r="AA80" s="28" t="n">
        <v>4.915652</v>
      </c>
      <c r="AB80" s="28" t="n">
        <v>5.93971</v>
      </c>
      <c r="AC80" s="28" t="n">
        <v>5.234533</v>
      </c>
    </row>
    <row r="81">
      <c r="Q81" s="28" t="n">
        <v>2021</v>
      </c>
      <c r="R81" s="28" t="n">
        <v>4.713027</v>
      </c>
      <c r="S81" s="28" t="n">
        <v>5.098081</v>
      </c>
      <c r="T81" s="28" t="n">
        <v>5.397164</v>
      </c>
      <c r="U81" s="28" t="n">
        <v>5.008946</v>
      </c>
      <c r="V81" s="28" t="n">
        <v>4.290754</v>
      </c>
      <c r="W81" s="28" t="n">
        <v>3.809895</v>
      </c>
      <c r="X81" s="28" t="n">
        <v>4.081275</v>
      </c>
      <c r="Y81" s="28" t="n">
        <v>4.305786</v>
      </c>
      <c r="Z81" s="28" t="n">
        <v>4.703401</v>
      </c>
      <c r="AA81" s="28" t="n">
        <v>5.581634</v>
      </c>
      <c r="AB81" s="28" t="n">
        <v>5.208004</v>
      </c>
      <c r="AC81" s="28" t="n">
        <v>5.198026</v>
      </c>
    </row>
    <row r="82">
      <c r="Q82" s="28" t="n">
        <v>2022</v>
      </c>
      <c r="R82" s="28" t="n">
        <v>6.241508</v>
      </c>
      <c r="S82" s="28" t="n">
        <v>5.832925</v>
      </c>
      <c r="T82" s="28" t="n">
        <v>4.874285</v>
      </c>
      <c r="U82" s="28" t="n">
        <v>4.506237</v>
      </c>
      <c r="V82" s="28" t="n">
        <v>4.585642</v>
      </c>
      <c r="W82" s="28" t="n">
        <v>4.018667</v>
      </c>
      <c r="X82" s="28" t="n">
        <v>4.22048</v>
      </c>
      <c r="Y82" s="28" t="n">
        <v>4.192999</v>
      </c>
      <c r="Z82" s="28" t="n">
        <v>4.383983</v>
      </c>
      <c r="AA82" s="28" t="n">
        <v>4.997899</v>
      </c>
      <c r="AB82" s="28" t="n">
        <v>4.784908</v>
      </c>
      <c r="AC82" s="28" t="n">
        <v>5.111497</v>
      </c>
    </row>
    <row r="83">
      <c r="Q83" s="28" t="n">
        <v>2023</v>
      </c>
      <c r="R83" s="28" t="n">
        <v>5.729101</v>
      </c>
      <c r="S83" s="28" t="n">
        <v>5.679376</v>
      </c>
      <c r="T83" s="28" t="n">
        <v>5.044094</v>
      </c>
      <c r="U83" s="28" t="n">
        <v>4.218853</v>
      </c>
      <c r="V83" s="28" t="n">
        <v>4.421245</v>
      </c>
      <c r="W83" s="28" t="n">
        <v>3.682914</v>
      </c>
      <c r="X83" s="28" t="n">
        <v>4.048323</v>
      </c>
      <c r="Y83" s="28" t="n">
        <v>3.912017</v>
      </c>
      <c r="Z83" s="28" t="n">
        <v>4.731944</v>
      </c>
      <c r="AA83" s="28" t="n">
        <v>5.317962</v>
      </c>
      <c r="AB83" s="28" t="n">
        <v>4.733949</v>
      </c>
      <c r="AC83" s="28" t="n">
        <v>4.904456</v>
      </c>
    </row>
    <row r="84">
      <c r="Q84" s="28" t="n">
        <v>2024</v>
      </c>
      <c r="R84" s="28" t="n">
        <v>5.778574</v>
      </c>
      <c r="S84" s="28" t="n">
        <v>5.334414</v>
      </c>
      <c r="T84" s="28" t="n">
        <v>4.410784</v>
      </c>
      <c r="U84" s="28" t="n">
        <v>4.634644</v>
      </c>
      <c r="V84" s="28" t="n">
        <v>3.819308</v>
      </c>
      <c r="W84" s="28" t="n">
        <v>4.19592</v>
      </c>
      <c r="X84" s="28" t="n">
        <v>3.801208</v>
      </c>
      <c r="Y84" s="28" t="n">
        <v>4.493989</v>
      </c>
      <c r="Z84" s="28" t="n">
        <v>4.622054</v>
      </c>
      <c r="AA84" s="28" t="n">
        <v>5.28869</v>
      </c>
      <c r="AB84" s="28" t="n">
        <v>5.726841</v>
      </c>
      <c r="AC84" s="28" t="n">
        <v>6.003364</v>
      </c>
    </row>
    <row r="85">
      <c r="Q85" s="28" t="n">
        <v>2025</v>
      </c>
      <c r="R85" s="28" t="n">
        <v>5.48071</v>
      </c>
      <c r="S85" s="28" t="n">
        <v>4.974284</v>
      </c>
      <c r="T85" s="28" t="n">
        <v>5.061145</v>
      </c>
      <c r="U85" s="28" t="n">
        <v>4.509487</v>
      </c>
      <c r="V85" s="28" t="n">
        <v>4.57092</v>
      </c>
      <c r="W85" s="28" t="n">
        <v>4.523772</v>
      </c>
      <c r="X85" s="28" t="n">
        <v>3.60631</v>
      </c>
      <c r="Y85" s="28" t="n">
        <v>4.421916</v>
      </c>
      <c r="Z85" s="28" t="n">
        <v>4.627899</v>
      </c>
      <c r="AA85" s="28" t="n">
        <v>5.138069</v>
      </c>
      <c r="AB85" s="28" t="n">
        <v>4.947821</v>
      </c>
      <c r="AC85" s="28" t="n">
        <v>5.54398</v>
      </c>
    </row>
    <row r="86">
      <c r="Q86" s="28" t="n">
        <v>2026</v>
      </c>
      <c r="R86" s="28" t="n">
        <v>4.894881</v>
      </c>
      <c r="S86" s="28" t="n">
        <v>4.545825</v>
      </c>
    </row>
    <row r="87">
      <c r="B87" s="4" t="inlineStr">
        <is>
          <t>https://climexp.knmi.nl/selectfield_rea.cgi?id=someone@somewhere</t>
        </is>
      </c>
    </row>
    <row r="91">
      <c r="B91" s="4" t="n"/>
    </row>
    <row r="92">
      <c r="B92" s="4" t="n"/>
    </row>
    <row r="93">
      <c r="B93" s="4" t="n"/>
    </row>
    <row r="94">
      <c r="B94" s="4" t="n"/>
    </row>
    <row r="96">
      <c r="B96" s="4" t="n"/>
    </row>
  </sheetData>
  <dataValidations count="1">
    <dataValidation sqref="C8" showDropDown="0" showInputMessage="1" showErrorMessage="1" allowBlank="1" type="list">
      <formula1>#REF!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9"/>
    <outlinePr summaryBelow="1" summaryRight="1"/>
    <pageSetUpPr/>
  </sheetPr>
  <dimension ref="B2:P96"/>
  <sheetViews>
    <sheetView zoomScale="145" zoomScaleNormal="145" workbookViewId="0">
      <pane xSplit="4" ySplit="9" topLeftCell="E61" activePane="bottomRight" state="frozen"/>
      <selection pane="topRight" activeCell="E1" sqref="E1"/>
      <selection pane="bottomLeft" activeCell="A10" sqref="A10"/>
      <selection pane="bottomRight" activeCell="G65" sqref="G65"/>
    </sheetView>
  </sheetViews>
  <sheetFormatPr baseColWidth="8" defaultColWidth="8.6640625" defaultRowHeight="11.25"/>
  <sheetData>
    <row r="2">
      <c r="C2" s="1" t="n"/>
      <c r="D2" s="1" t="inlineStr">
        <is>
          <t>Jan</t>
        </is>
      </c>
      <c r="E2" s="1" t="inlineStr">
        <is>
          <t>Feb</t>
        </is>
      </c>
      <c r="F2" s="1" t="inlineStr">
        <is>
          <t>Mar</t>
        </is>
      </c>
      <c r="G2" s="1" t="inlineStr">
        <is>
          <t>Apr</t>
        </is>
      </c>
      <c r="H2" s="1" t="inlineStr">
        <is>
          <t>May</t>
        </is>
      </c>
      <c r="I2" s="1" t="inlineStr">
        <is>
          <t>Jun</t>
        </is>
      </c>
      <c r="J2" s="1" t="inlineStr">
        <is>
          <t>Jul</t>
        </is>
      </c>
      <c r="K2" s="1" t="inlineStr">
        <is>
          <t>Aug</t>
        </is>
      </c>
      <c r="L2" s="1" t="inlineStr">
        <is>
          <t>Sep</t>
        </is>
      </c>
      <c r="M2" s="1" t="inlineStr">
        <is>
          <t>Oct</t>
        </is>
      </c>
      <c r="N2" s="1" t="inlineStr">
        <is>
          <t>Nov</t>
        </is>
      </c>
      <c r="O2" s="1" t="inlineStr">
        <is>
          <t>Dec</t>
        </is>
      </c>
      <c r="P2" s="1" t="inlineStr">
        <is>
          <t>Total</t>
        </is>
      </c>
    </row>
    <row r="3">
      <c r="C3" s="28" t="inlineStr">
        <is>
          <t>Days M</t>
        </is>
      </c>
      <c r="D3" s="28" t="n">
        <v>31</v>
      </c>
      <c r="E3" s="28" t="n">
        <v>28</v>
      </c>
      <c r="F3" s="28" t="n">
        <v>31</v>
      </c>
      <c r="G3" s="28" t="n">
        <v>30</v>
      </c>
      <c r="H3" s="28" t="n">
        <v>31</v>
      </c>
      <c r="I3" s="28" t="n">
        <v>30</v>
      </c>
      <c r="J3" s="28" t="n">
        <v>31</v>
      </c>
      <c r="K3" s="28" t="n">
        <v>31</v>
      </c>
      <c r="L3" s="28" t="n">
        <v>30</v>
      </c>
      <c r="M3" s="28" t="n">
        <v>31</v>
      </c>
      <c r="N3" s="28" t="n">
        <v>30</v>
      </c>
      <c r="O3" s="28" t="n">
        <v>31</v>
      </c>
      <c r="P3" s="28">
        <f>SUM(D3:O3)</f>
        <v/>
      </c>
    </row>
    <row r="4">
      <c r="C4" s="28" t="inlineStr">
        <is>
          <t>hours</t>
        </is>
      </c>
      <c r="D4" s="28">
        <f>D3*24</f>
        <v/>
      </c>
      <c r="E4" s="28">
        <f>E3*24</f>
        <v/>
      </c>
      <c r="F4" s="28">
        <f>F3*24</f>
        <v/>
      </c>
      <c r="G4" s="28">
        <f>G3*24</f>
        <v/>
      </c>
      <c r="H4" s="28">
        <f>H3*24</f>
        <v/>
      </c>
      <c r="I4" s="28">
        <f>I3*24</f>
        <v/>
      </c>
      <c r="J4" s="28">
        <f>J3*24</f>
        <v/>
      </c>
      <c r="K4" s="28">
        <f>K3*24</f>
        <v/>
      </c>
      <c r="L4" s="28">
        <f>L3*24</f>
        <v/>
      </c>
      <c r="M4" s="28">
        <f>M3*24</f>
        <v/>
      </c>
      <c r="N4" s="28">
        <f>N3*24</f>
        <v/>
      </c>
      <c r="O4" s="28">
        <f>O3*24</f>
        <v/>
      </c>
      <c r="P4" s="28">
        <f>SUM(D4:O4)</f>
        <v/>
      </c>
    </row>
    <row r="5">
      <c r="C5" s="28" t="inlineStr">
        <is>
          <t>Month</t>
        </is>
      </c>
      <c r="D5" s="28">
        <f>1</f>
        <v/>
      </c>
      <c r="E5" s="28">
        <f>D5+1</f>
        <v/>
      </c>
      <c r="F5" s="28">
        <f>E5+1</f>
        <v/>
      </c>
      <c r="G5" s="28">
        <f>F5+1</f>
        <v/>
      </c>
      <c r="H5" s="28">
        <f>G5+1</f>
        <v/>
      </c>
      <c r="I5" s="28">
        <f>H5+1</f>
        <v/>
      </c>
      <c r="J5" s="28">
        <f>I5+1</f>
        <v/>
      </c>
      <c r="K5" s="28">
        <f>J5+1</f>
        <v/>
      </c>
      <c r="L5" s="28">
        <f>K5+1</f>
        <v/>
      </c>
      <c r="M5" s="28">
        <f>L5+1</f>
        <v/>
      </c>
      <c r="N5" s="28">
        <f>M5+1</f>
        <v/>
      </c>
      <c r="O5" s="28">
        <f>N5+1</f>
        <v/>
      </c>
    </row>
    <row r="8">
      <c r="C8" s="13" t="inlineStr">
        <is>
          <t>Total</t>
        </is>
      </c>
      <c r="D8" s="2">
        <f>D$2</f>
        <v/>
      </c>
      <c r="E8" s="2">
        <f>E$2</f>
        <v/>
      </c>
      <c r="F8" s="2">
        <f>F$2</f>
        <v/>
      </c>
      <c r="G8" s="2">
        <f>G$2</f>
        <v/>
      </c>
      <c r="H8" s="2">
        <f>H$2</f>
        <v/>
      </c>
      <c r="I8" s="2">
        <f>I$2</f>
        <v/>
      </c>
      <c r="J8" s="2">
        <f>J$2</f>
        <v/>
      </c>
      <c r="K8" s="2">
        <f>K$2</f>
        <v/>
      </c>
      <c r="L8" s="2">
        <f>L$2</f>
        <v/>
      </c>
      <c r="M8" s="2">
        <f>M$2</f>
        <v/>
      </c>
      <c r="N8" s="2">
        <f>N$2</f>
        <v/>
      </c>
      <c r="O8" s="2">
        <f>O$2</f>
        <v/>
      </c>
      <c r="P8" s="28">
        <f>P$2</f>
        <v/>
      </c>
    </row>
    <row r="9">
      <c r="C9" s="10" t="n">
        <v>1970</v>
      </c>
      <c r="D9" s="29" t="n">
        <v>1.614783</v>
      </c>
      <c r="E9" s="29" t="n">
        <v>1.692914</v>
      </c>
      <c r="F9" s="29" t="n">
        <v>2.084152</v>
      </c>
      <c r="G9" s="29" t="n">
        <v>2.408439</v>
      </c>
      <c r="H9" s="29" t="n">
        <v>1.281011</v>
      </c>
      <c r="I9" s="29" t="n">
        <v>1.249092</v>
      </c>
      <c r="J9" s="29" t="n">
        <v>3.789002</v>
      </c>
      <c r="K9" s="29" t="n">
        <v>1.998479</v>
      </c>
      <c r="L9" s="29" t="n">
        <v>3.233936</v>
      </c>
      <c r="M9" s="29" t="n">
        <v>3.175065</v>
      </c>
      <c r="N9" s="29" t="n">
        <v>2.910315</v>
      </c>
      <c r="O9" s="29" t="n">
        <v>2.372986</v>
      </c>
    </row>
    <row r="10">
      <c r="C10" s="10" t="n">
        <v>1971</v>
      </c>
      <c r="D10" s="29" t="n">
        <v>2.513107</v>
      </c>
      <c r="E10" s="29" t="n">
        <v>2.467387</v>
      </c>
      <c r="F10" s="29" t="n">
        <v>2.11318</v>
      </c>
      <c r="G10" s="29" t="n">
        <v>1.683634</v>
      </c>
      <c r="H10" s="29" t="n">
        <v>1.451604</v>
      </c>
      <c r="I10" s="29" t="n">
        <v>2.022926</v>
      </c>
      <c r="J10" s="29" t="n">
        <v>2.494291</v>
      </c>
      <c r="K10" s="29" t="n">
        <v>2.964803</v>
      </c>
      <c r="L10" s="29" t="n">
        <v>2.635927</v>
      </c>
      <c r="M10" s="29" t="n">
        <v>3.20884</v>
      </c>
      <c r="N10" s="29" t="n">
        <v>3.51703</v>
      </c>
      <c r="O10" s="29" t="n">
        <v>3.007117</v>
      </c>
    </row>
    <row r="11">
      <c r="C11" s="10" t="n">
        <v>1972</v>
      </c>
      <c r="D11" s="29" t="n">
        <v>1.33732</v>
      </c>
      <c r="E11" s="29" t="n">
        <v>1.454913</v>
      </c>
      <c r="F11" s="29" t="n">
        <v>1.820717</v>
      </c>
      <c r="G11" s="29" t="n">
        <v>2.305595</v>
      </c>
      <c r="H11" s="29" t="n">
        <v>1.772664</v>
      </c>
      <c r="I11" s="29" t="n">
        <v>2.57524</v>
      </c>
      <c r="J11" s="29" t="n">
        <v>2.777739</v>
      </c>
      <c r="K11" s="29" t="n">
        <v>3.37614</v>
      </c>
      <c r="L11" s="29" t="n">
        <v>2.865733</v>
      </c>
      <c r="M11" s="29" t="n">
        <v>2.712271</v>
      </c>
      <c r="N11" s="29" t="n">
        <v>3.526306</v>
      </c>
      <c r="O11" s="29" t="n">
        <v>2.754099</v>
      </c>
    </row>
    <row r="12">
      <c r="C12" s="10" t="n">
        <v>1973</v>
      </c>
      <c r="D12" s="29" t="n">
        <v>2.156026</v>
      </c>
      <c r="E12" s="29" t="n">
        <v>2.625962</v>
      </c>
      <c r="F12" s="29" t="n">
        <v>2.064528</v>
      </c>
      <c r="G12" s="29" t="n">
        <v>2.448389</v>
      </c>
      <c r="H12" s="29" t="n">
        <v>2.147188</v>
      </c>
      <c r="I12" s="29" t="n">
        <v>2.204005</v>
      </c>
      <c r="J12" s="29" t="n">
        <v>2.487336</v>
      </c>
      <c r="K12" s="29" t="n">
        <v>2.693058</v>
      </c>
      <c r="L12" s="29" t="n">
        <v>2.820479</v>
      </c>
      <c r="M12" s="29" t="n">
        <v>2.504289</v>
      </c>
      <c r="N12" s="29" t="n">
        <v>3.409014</v>
      </c>
      <c r="O12" s="29" t="n">
        <v>3.087059</v>
      </c>
    </row>
    <row r="13">
      <c r="C13" s="10" t="n">
        <v>1974</v>
      </c>
      <c r="D13" s="29" t="n">
        <v>2.602624</v>
      </c>
      <c r="E13" s="29" t="n">
        <v>2.465692</v>
      </c>
      <c r="F13" s="29" t="n">
        <v>0.9267874</v>
      </c>
      <c r="G13" s="29" t="n">
        <v>1.065131</v>
      </c>
      <c r="H13" s="29" t="n">
        <v>1.193146</v>
      </c>
      <c r="I13" s="29" t="n">
        <v>2.105168</v>
      </c>
      <c r="J13" s="29" t="n">
        <v>3.877565</v>
      </c>
      <c r="K13" s="29" t="n">
        <v>2.676867</v>
      </c>
      <c r="L13" s="29" t="n">
        <v>3.749073</v>
      </c>
      <c r="M13" s="29" t="n">
        <v>3.091074</v>
      </c>
      <c r="N13" s="29" t="n">
        <v>2.889576</v>
      </c>
      <c r="O13" s="29" t="n">
        <v>3.407107</v>
      </c>
    </row>
    <row r="14">
      <c r="C14" s="10" t="n">
        <v>1975</v>
      </c>
      <c r="D14" s="29" t="n">
        <v>3.342252</v>
      </c>
      <c r="E14" s="29" t="n">
        <v>1.776787</v>
      </c>
      <c r="F14" s="29" t="n">
        <v>1.633466</v>
      </c>
      <c r="G14" s="29" t="n">
        <v>1.982145</v>
      </c>
      <c r="H14" s="29" t="n">
        <v>2.082818</v>
      </c>
      <c r="I14" s="29" t="n">
        <v>2.021493</v>
      </c>
      <c r="J14" s="29" t="n">
        <v>2.071226</v>
      </c>
      <c r="K14" s="29" t="n">
        <v>1.971761</v>
      </c>
      <c r="L14" s="29" t="n">
        <v>3.961597</v>
      </c>
      <c r="M14" s="29" t="n">
        <v>2.464026</v>
      </c>
      <c r="N14" s="29" t="n">
        <v>2.527676</v>
      </c>
      <c r="O14" s="29" t="n">
        <v>3.775674</v>
      </c>
    </row>
    <row r="15">
      <c r="C15" s="10" t="n">
        <v>1976</v>
      </c>
      <c r="D15" s="29" t="n">
        <v>2.611276</v>
      </c>
      <c r="E15" s="29" t="n">
        <v>1.939651</v>
      </c>
      <c r="F15" s="29" t="n">
        <v>1.479023</v>
      </c>
      <c r="G15" s="29" t="n">
        <v>1.92275</v>
      </c>
      <c r="H15" s="29" t="n">
        <v>1.389611</v>
      </c>
      <c r="I15" s="29" t="n">
        <v>1.889929</v>
      </c>
      <c r="J15" s="29" t="n">
        <v>2.267664</v>
      </c>
      <c r="K15" s="29" t="n">
        <v>1.602844</v>
      </c>
      <c r="L15" s="29" t="n">
        <v>2.396827</v>
      </c>
      <c r="M15" s="29" t="n">
        <v>2.049179</v>
      </c>
      <c r="N15" s="29" t="n">
        <v>2.774949</v>
      </c>
      <c r="O15" s="29" t="n">
        <v>2.364615</v>
      </c>
    </row>
    <row r="16">
      <c r="C16" s="10" t="n">
        <v>1977</v>
      </c>
      <c r="D16" s="29" t="n">
        <v>2.347465</v>
      </c>
      <c r="E16" s="29" t="n">
        <v>1.669947</v>
      </c>
      <c r="F16" s="29" t="n">
        <v>2.171959</v>
      </c>
      <c r="G16" s="29" t="n">
        <v>2.671277</v>
      </c>
      <c r="H16" s="29" t="n">
        <v>1.559065</v>
      </c>
      <c r="I16" s="29" t="n">
        <v>2.305869</v>
      </c>
      <c r="J16" s="29" t="n">
        <v>3.117096</v>
      </c>
      <c r="K16" s="29" t="n">
        <v>1.948178</v>
      </c>
      <c r="L16" s="29" t="n">
        <v>2.788285</v>
      </c>
      <c r="M16" s="29" t="n">
        <v>2.606776</v>
      </c>
      <c r="N16" s="29" t="n">
        <v>3.184222</v>
      </c>
      <c r="O16" s="29" t="n">
        <v>2.316912</v>
      </c>
    </row>
    <row r="17">
      <c r="C17" s="10" t="n">
        <v>1978</v>
      </c>
      <c r="D17" s="29" t="n">
        <v>2.385629</v>
      </c>
      <c r="E17" s="29" t="n">
        <v>1.647698</v>
      </c>
      <c r="F17" s="29" t="n">
        <v>2.17092</v>
      </c>
      <c r="G17" s="29" t="n">
        <v>1.382638</v>
      </c>
      <c r="H17" s="29" t="n">
        <v>0.9990391</v>
      </c>
      <c r="I17" s="29" t="n">
        <v>2.093611</v>
      </c>
      <c r="J17" s="29" t="n">
        <v>2.443549</v>
      </c>
      <c r="K17" s="29" t="n">
        <v>2.991691</v>
      </c>
      <c r="L17" s="29" t="n">
        <v>3.531259</v>
      </c>
      <c r="M17" s="29" t="n">
        <v>2.735632</v>
      </c>
      <c r="N17" s="29" t="n">
        <v>3.272943</v>
      </c>
      <c r="O17" s="29" t="n">
        <v>1.418335</v>
      </c>
    </row>
    <row r="18">
      <c r="C18" s="10" t="n">
        <v>1979</v>
      </c>
      <c r="D18" s="29" t="n">
        <v>1.889102</v>
      </c>
      <c r="E18" s="29" t="n">
        <v>1.658992</v>
      </c>
      <c r="F18" s="29" t="n">
        <v>2.260875</v>
      </c>
      <c r="G18" s="29" t="n">
        <v>1.541458</v>
      </c>
      <c r="H18" s="29" t="n">
        <v>2.476303</v>
      </c>
      <c r="I18" s="29" t="n">
        <v>1.850875</v>
      </c>
      <c r="J18" s="29" t="n">
        <v>2.901614</v>
      </c>
      <c r="K18" s="29" t="n">
        <v>3.107211</v>
      </c>
      <c r="L18" s="29" t="n">
        <v>3.188229</v>
      </c>
      <c r="M18" s="29" t="n">
        <v>1.840891</v>
      </c>
      <c r="N18" s="29" t="n">
        <v>3.373526</v>
      </c>
      <c r="O18" s="29" t="n">
        <v>2.690046</v>
      </c>
    </row>
    <row r="19">
      <c r="C19" s="10" t="n">
        <v>1980</v>
      </c>
      <c r="D19" s="29" t="n">
        <v>1.676853</v>
      </c>
      <c r="E19" s="29" t="n">
        <v>1.520577</v>
      </c>
      <c r="F19" s="29" t="n">
        <v>1.236632</v>
      </c>
      <c r="G19" s="29" t="n">
        <v>1.574986</v>
      </c>
      <c r="H19" s="29" t="n">
        <v>1.320344</v>
      </c>
      <c r="I19" s="29" t="n">
        <v>2.355994</v>
      </c>
      <c r="J19" s="29" t="n">
        <v>1.866582</v>
      </c>
      <c r="K19" s="29" t="n">
        <v>2.912798</v>
      </c>
      <c r="L19" s="29" t="n">
        <v>2.690106</v>
      </c>
      <c r="M19" s="29" t="n">
        <v>3.880175</v>
      </c>
      <c r="N19" s="29" t="n">
        <v>2.735149</v>
      </c>
      <c r="O19" s="29" t="n">
        <v>3.236839</v>
      </c>
    </row>
    <row r="20">
      <c r="C20" s="10" t="n">
        <v>1981</v>
      </c>
      <c r="D20" s="29" t="n">
        <v>2.921267</v>
      </c>
      <c r="E20" s="29" t="n">
        <v>1.904081</v>
      </c>
      <c r="F20" s="29" t="n">
        <v>2.190231</v>
      </c>
      <c r="G20" s="29" t="n">
        <v>1.497271</v>
      </c>
      <c r="H20" s="29" t="n">
        <v>1.391747</v>
      </c>
      <c r="I20" s="29" t="n">
        <v>3.343746</v>
      </c>
      <c r="J20" s="29" t="n">
        <v>3.224908</v>
      </c>
      <c r="K20" s="29" t="n">
        <v>2.696773</v>
      </c>
      <c r="L20" s="29" t="n">
        <v>2.212433</v>
      </c>
      <c r="M20" s="29" t="n">
        <v>3.57728</v>
      </c>
      <c r="N20" s="29" t="n">
        <v>3.336886</v>
      </c>
      <c r="O20" s="29" t="n">
        <v>2.378205</v>
      </c>
    </row>
    <row r="21">
      <c r="C21" s="10" t="n">
        <v>1982</v>
      </c>
      <c r="D21" s="29" t="n">
        <v>1.974556</v>
      </c>
      <c r="E21" s="29" t="n">
        <v>1.573931</v>
      </c>
      <c r="F21" s="29" t="n">
        <v>2.083547</v>
      </c>
      <c r="G21" s="29" t="n">
        <v>2.179084</v>
      </c>
      <c r="H21" s="29" t="n">
        <v>2.283009</v>
      </c>
      <c r="I21" s="29" t="n">
        <v>1.890034</v>
      </c>
      <c r="J21" s="29" t="n">
        <v>2.064954</v>
      </c>
      <c r="K21" s="29" t="n">
        <v>2.99932</v>
      </c>
      <c r="L21" s="29" t="n">
        <v>3.304144</v>
      </c>
      <c r="M21" s="29" t="n">
        <v>2.334761</v>
      </c>
      <c r="N21" s="29" t="n">
        <v>3.219824</v>
      </c>
      <c r="O21" s="29" t="n">
        <v>2.826335</v>
      </c>
    </row>
    <row r="22">
      <c r="C22" s="10" t="n">
        <v>1983</v>
      </c>
      <c r="D22" s="29" t="n">
        <v>3.587553</v>
      </c>
      <c r="E22" s="29" t="n">
        <v>1.55621</v>
      </c>
      <c r="F22" s="29" t="n">
        <v>2.402857</v>
      </c>
      <c r="G22" s="29" t="n">
        <v>2.016313</v>
      </c>
      <c r="H22" s="29" t="n">
        <v>2.532323</v>
      </c>
      <c r="I22" s="29" t="n">
        <v>2.170461</v>
      </c>
      <c r="J22" s="29" t="n">
        <v>2.210418</v>
      </c>
      <c r="K22" s="29" t="n">
        <v>2.212261</v>
      </c>
      <c r="L22" s="29" t="n">
        <v>3.869902</v>
      </c>
      <c r="M22" s="29" t="n">
        <v>3.874069</v>
      </c>
      <c r="N22" s="29" t="n">
        <v>2.897051</v>
      </c>
      <c r="O22" s="29" t="n">
        <v>3.0775</v>
      </c>
    </row>
    <row r="23">
      <c r="C23" s="10" t="n">
        <v>1984</v>
      </c>
      <c r="D23" s="29" t="n">
        <v>2.688087</v>
      </c>
      <c r="E23" s="29" t="n">
        <v>1.884599</v>
      </c>
      <c r="F23" s="29" t="n">
        <v>1.384935</v>
      </c>
      <c r="G23" s="29" t="n">
        <v>1.443933</v>
      </c>
      <c r="H23" s="29" t="n">
        <v>1.728939</v>
      </c>
      <c r="I23" s="29" t="n">
        <v>2.669187</v>
      </c>
      <c r="J23" s="29" t="n">
        <v>2.624751</v>
      </c>
      <c r="K23" s="29" t="n">
        <v>2.244191</v>
      </c>
      <c r="L23" s="29" t="n">
        <v>3.096232</v>
      </c>
      <c r="M23" s="29" t="n">
        <v>3.840696</v>
      </c>
      <c r="N23" s="29" t="n">
        <v>1.989549</v>
      </c>
      <c r="O23" s="29" t="n">
        <v>2.151149</v>
      </c>
    </row>
    <row r="24">
      <c r="C24" s="10" t="n">
        <v>1985</v>
      </c>
      <c r="D24" s="29" t="n">
        <v>1.861409</v>
      </c>
      <c r="E24" s="29" t="n">
        <v>1.52746</v>
      </c>
      <c r="F24" s="29" t="n">
        <v>2.121104</v>
      </c>
      <c r="G24" s="29" t="n">
        <v>2.022431</v>
      </c>
      <c r="H24" s="29" t="n">
        <v>1.48726</v>
      </c>
      <c r="I24" s="29" t="n">
        <v>2.192704</v>
      </c>
      <c r="J24" s="29" t="n">
        <v>2.871062</v>
      </c>
      <c r="K24" s="29" t="n">
        <v>3.498053</v>
      </c>
      <c r="L24" s="29" t="n">
        <v>3.610849</v>
      </c>
      <c r="M24" s="29" t="n">
        <v>3.057586</v>
      </c>
      <c r="N24" s="29" t="n">
        <v>2.67707</v>
      </c>
      <c r="O24" s="29" t="n">
        <v>2.773608</v>
      </c>
    </row>
    <row r="25">
      <c r="C25" s="10" t="n">
        <v>1986</v>
      </c>
      <c r="D25" s="29" t="n">
        <v>2.081541</v>
      </c>
      <c r="E25" s="29" t="n">
        <v>0.938586</v>
      </c>
      <c r="F25" s="29" t="n">
        <v>2.093706</v>
      </c>
      <c r="G25" s="29" t="n">
        <v>1.747697</v>
      </c>
      <c r="H25" s="29" t="n">
        <v>2.214462</v>
      </c>
      <c r="I25" s="29" t="n">
        <v>1.66531</v>
      </c>
      <c r="J25" s="29" t="n">
        <v>2.741124</v>
      </c>
      <c r="K25" s="29" t="n">
        <v>3.215936</v>
      </c>
      <c r="L25" s="29" t="n">
        <v>3.022074</v>
      </c>
      <c r="M25" s="29" t="n">
        <v>2.977741</v>
      </c>
      <c r="N25" s="29" t="n">
        <v>3.494459</v>
      </c>
      <c r="O25" s="29" t="n">
        <v>2.638863</v>
      </c>
    </row>
    <row r="26">
      <c r="C26" s="10" t="n">
        <v>1987</v>
      </c>
      <c r="D26" s="29" t="n">
        <v>1.646559</v>
      </c>
      <c r="E26" s="29" t="n">
        <v>2.238183</v>
      </c>
      <c r="F26" s="29" t="n">
        <v>1.512752</v>
      </c>
      <c r="G26" s="29" t="n">
        <v>1.308587</v>
      </c>
      <c r="H26" s="29" t="n">
        <v>2.015263</v>
      </c>
      <c r="I26" s="29" t="n">
        <v>3.134828</v>
      </c>
      <c r="J26" s="29" t="n">
        <v>2.417139</v>
      </c>
      <c r="K26" s="29" t="n">
        <v>3.390649</v>
      </c>
      <c r="L26" s="29" t="n">
        <v>3.016215</v>
      </c>
      <c r="M26" s="29" t="n">
        <v>2.670184</v>
      </c>
      <c r="N26" s="29" t="n">
        <v>2.415601</v>
      </c>
      <c r="O26" s="29" t="n">
        <v>2.521802</v>
      </c>
    </row>
    <row r="27">
      <c r="C27" s="10" t="n">
        <v>1988</v>
      </c>
      <c r="D27" s="29" t="n">
        <v>2.693249</v>
      </c>
      <c r="E27" s="29" t="n">
        <v>2.34815</v>
      </c>
      <c r="F27" s="29" t="n">
        <v>1.888167</v>
      </c>
      <c r="G27" s="29" t="n">
        <v>1.983794</v>
      </c>
      <c r="H27" s="29" t="n">
        <v>1.341243</v>
      </c>
      <c r="I27" s="29" t="n">
        <v>1.587202</v>
      </c>
      <c r="J27" s="29" t="n">
        <v>3.734387</v>
      </c>
      <c r="K27" s="29" t="n">
        <v>3.081811</v>
      </c>
      <c r="L27" s="29" t="n">
        <v>3.524434</v>
      </c>
      <c r="M27" s="29" t="n">
        <v>2.58447</v>
      </c>
      <c r="N27" s="29" t="n">
        <v>2.416433</v>
      </c>
      <c r="O27" s="29" t="n">
        <v>2.926442</v>
      </c>
    </row>
    <row r="28">
      <c r="C28" s="10" t="n">
        <v>1989</v>
      </c>
      <c r="D28" s="29" t="n">
        <v>3.24006</v>
      </c>
      <c r="E28" s="29" t="n">
        <v>3.211603</v>
      </c>
      <c r="F28" s="29" t="n">
        <v>2.59977</v>
      </c>
      <c r="G28" s="29" t="n">
        <v>1.724681</v>
      </c>
      <c r="H28" s="29" t="n">
        <v>2.101168</v>
      </c>
      <c r="I28" s="29" t="n">
        <v>2.427774</v>
      </c>
      <c r="J28" s="29" t="n">
        <v>2.337912</v>
      </c>
      <c r="K28" s="29" t="n">
        <v>3.242974</v>
      </c>
      <c r="L28" s="29" t="n">
        <v>2.210103</v>
      </c>
      <c r="M28" s="29" t="n">
        <v>2.655654</v>
      </c>
      <c r="N28" s="29" t="n">
        <v>2.286875</v>
      </c>
      <c r="O28" s="29" t="n">
        <v>2.56157</v>
      </c>
    </row>
    <row r="29">
      <c r="C29" s="10" t="n">
        <v>1990</v>
      </c>
      <c r="D29" s="29" t="n">
        <v>3.258853</v>
      </c>
      <c r="E29" s="29" t="n">
        <v>3.701293</v>
      </c>
      <c r="F29" s="29" t="n">
        <v>2.911263</v>
      </c>
      <c r="G29" s="29" t="n">
        <v>1.904432</v>
      </c>
      <c r="H29" s="29" t="n">
        <v>1.377806</v>
      </c>
      <c r="I29" s="29" t="n">
        <v>1.999347</v>
      </c>
      <c r="J29" s="29" t="n">
        <v>3.055315</v>
      </c>
      <c r="K29" s="29" t="n">
        <v>2.791088</v>
      </c>
      <c r="L29" s="29" t="n">
        <v>3.027244</v>
      </c>
      <c r="M29" s="29" t="n">
        <v>2.731252</v>
      </c>
      <c r="N29" s="29" t="n">
        <v>2.356496</v>
      </c>
      <c r="O29" s="29" t="n">
        <v>2.79801</v>
      </c>
    </row>
    <row r="30">
      <c r="C30" s="10" t="n">
        <v>1991</v>
      </c>
      <c r="D30" s="29" t="n">
        <v>2.356715</v>
      </c>
      <c r="E30" s="29" t="n">
        <v>1.477312</v>
      </c>
      <c r="F30" s="29" t="n">
        <v>1.914944</v>
      </c>
      <c r="G30" s="29" t="n">
        <v>1.57708</v>
      </c>
      <c r="H30" s="29" t="n">
        <v>1.949338</v>
      </c>
      <c r="I30" s="29" t="n">
        <v>3.439253</v>
      </c>
      <c r="J30" s="29" t="n">
        <v>1.785928</v>
      </c>
      <c r="K30" s="29" t="n">
        <v>2.419608</v>
      </c>
      <c r="L30" s="29" t="n">
        <v>3.176042</v>
      </c>
      <c r="M30" s="29" t="n">
        <v>2.252113</v>
      </c>
      <c r="N30" s="29" t="n">
        <v>3.405635</v>
      </c>
      <c r="O30" s="29" t="n">
        <v>2.599184</v>
      </c>
    </row>
    <row r="31">
      <c r="C31" s="10" t="n">
        <v>1992</v>
      </c>
      <c r="D31" s="29" t="n">
        <v>2.822366</v>
      </c>
      <c r="E31" s="29" t="n">
        <v>2.504898</v>
      </c>
      <c r="F31" s="29" t="n">
        <v>2.523448</v>
      </c>
      <c r="G31" s="29" t="n">
        <v>2.161387</v>
      </c>
      <c r="H31" s="29" t="n">
        <v>1.476599</v>
      </c>
      <c r="I31" s="29" t="n">
        <v>1.252439</v>
      </c>
      <c r="J31" s="29" t="n">
        <v>2.837008</v>
      </c>
      <c r="K31" s="29" t="n">
        <v>3.284029</v>
      </c>
      <c r="L31" s="29" t="n">
        <v>2.55688</v>
      </c>
      <c r="M31" s="29" t="n">
        <v>2.320329</v>
      </c>
      <c r="N31" s="29" t="n">
        <v>3.188756</v>
      </c>
      <c r="O31" s="29" t="n">
        <v>2.968182</v>
      </c>
    </row>
    <row r="32">
      <c r="C32" s="10" t="n">
        <v>1993</v>
      </c>
      <c r="D32" s="29" t="n">
        <v>3.263609</v>
      </c>
      <c r="E32" s="29" t="n">
        <v>2.43874</v>
      </c>
      <c r="F32" s="29" t="n">
        <v>2.019933</v>
      </c>
      <c r="G32" s="29" t="n">
        <v>1.314826</v>
      </c>
      <c r="H32" s="29" t="n">
        <v>1.381808</v>
      </c>
      <c r="I32" s="29" t="n">
        <v>2.107523</v>
      </c>
      <c r="J32" s="29" t="n">
        <v>3.216856</v>
      </c>
      <c r="K32" s="29" t="n">
        <v>3.15744</v>
      </c>
      <c r="L32" s="29" t="n">
        <v>1.805258</v>
      </c>
      <c r="M32" s="29" t="n">
        <v>2.794806</v>
      </c>
      <c r="N32" s="29" t="n">
        <v>1.231627</v>
      </c>
      <c r="O32" s="29" t="n">
        <v>3.043533</v>
      </c>
    </row>
    <row r="33">
      <c r="C33" s="10" t="n">
        <v>1994</v>
      </c>
      <c r="D33" s="29" t="n">
        <v>2.629194</v>
      </c>
      <c r="E33" s="29" t="n">
        <v>1.109018</v>
      </c>
      <c r="F33" s="29" t="n">
        <v>2.584972</v>
      </c>
      <c r="G33" s="29" t="n">
        <v>1.927803</v>
      </c>
      <c r="H33" s="29" t="n">
        <v>1.445542</v>
      </c>
      <c r="I33" s="29" t="n">
        <v>2.783535</v>
      </c>
      <c r="J33" s="29" t="n">
        <v>1.135786</v>
      </c>
      <c r="K33" s="29" t="n">
        <v>2.451935</v>
      </c>
      <c r="L33" s="29" t="n">
        <v>3.323175</v>
      </c>
      <c r="M33" s="29" t="n">
        <v>2.844609</v>
      </c>
      <c r="N33" s="29" t="n">
        <v>2.441926</v>
      </c>
      <c r="O33" s="29" t="n">
        <v>2.989238</v>
      </c>
    </row>
    <row r="34">
      <c r="C34" s="10" t="n">
        <v>1995</v>
      </c>
      <c r="D34" s="29" t="n">
        <v>2.889351</v>
      </c>
      <c r="E34" s="29" t="n">
        <v>3.071546</v>
      </c>
      <c r="F34" s="29" t="n">
        <v>2.633535</v>
      </c>
      <c r="G34" s="29" t="n">
        <v>2.014399</v>
      </c>
      <c r="H34" s="29" t="n">
        <v>2.18032</v>
      </c>
      <c r="I34" s="29" t="n">
        <v>2.611916</v>
      </c>
      <c r="J34" s="29" t="n">
        <v>2.252618</v>
      </c>
      <c r="K34" s="29" t="n">
        <v>2.23671</v>
      </c>
      <c r="L34" s="29" t="n">
        <v>2.50231</v>
      </c>
      <c r="M34" s="29" t="n">
        <v>3.273041</v>
      </c>
      <c r="N34" s="29" t="n">
        <v>2.516771</v>
      </c>
      <c r="O34" s="29" t="n">
        <v>1.446905</v>
      </c>
    </row>
    <row r="35">
      <c r="C35" s="10" t="n">
        <v>1996</v>
      </c>
      <c r="D35" s="29" t="n">
        <v>1.047064</v>
      </c>
      <c r="E35" s="29" t="n">
        <v>1.89288</v>
      </c>
      <c r="F35" s="29" t="n">
        <v>0.9423313</v>
      </c>
      <c r="G35" s="29" t="n">
        <v>1.486331</v>
      </c>
      <c r="H35" s="29" t="n">
        <v>2.197297</v>
      </c>
      <c r="I35" s="29" t="n">
        <v>2.374246</v>
      </c>
      <c r="J35" s="29" t="n">
        <v>2.616116</v>
      </c>
      <c r="K35" s="29" t="n">
        <v>1.780571</v>
      </c>
      <c r="L35" s="29" t="n">
        <v>1.896616</v>
      </c>
      <c r="M35" s="29" t="n">
        <v>2.914907</v>
      </c>
      <c r="N35" s="29" t="n">
        <v>3.446605</v>
      </c>
      <c r="O35" s="29" t="n">
        <v>2.175824</v>
      </c>
    </row>
    <row r="36">
      <c r="C36" s="10" t="n">
        <v>1997</v>
      </c>
      <c r="D36" s="29" t="n">
        <v>2.149212</v>
      </c>
      <c r="E36" s="29" t="n">
        <v>3.098324</v>
      </c>
      <c r="F36" s="29" t="n">
        <v>2.386089</v>
      </c>
      <c r="G36" s="29" t="n">
        <v>2.194746</v>
      </c>
      <c r="H36" s="29" t="n">
        <v>2.058061</v>
      </c>
      <c r="I36" s="29" t="n">
        <v>2.085921</v>
      </c>
      <c r="J36" s="29" t="n">
        <v>1.765237</v>
      </c>
      <c r="K36" s="29" t="n">
        <v>1.811609</v>
      </c>
      <c r="L36" s="29" t="n">
        <v>3.454044</v>
      </c>
      <c r="M36" s="29" t="n">
        <v>3.093674</v>
      </c>
      <c r="N36" s="29" t="n">
        <v>2.0137</v>
      </c>
      <c r="O36" s="29" t="n">
        <v>2.033852</v>
      </c>
    </row>
    <row r="37">
      <c r="C37" s="10" t="n">
        <v>1998</v>
      </c>
      <c r="D37" s="29" t="n">
        <v>2.757834</v>
      </c>
      <c r="E37" s="29" t="n">
        <v>3.428766</v>
      </c>
      <c r="F37" s="29" t="n">
        <v>2.126689</v>
      </c>
      <c r="G37" s="29" t="n">
        <v>1.662729</v>
      </c>
      <c r="H37" s="29" t="n">
        <v>1.850754</v>
      </c>
      <c r="I37" s="29" t="n">
        <v>3.323523</v>
      </c>
      <c r="J37" s="29" t="n">
        <v>3.335459</v>
      </c>
      <c r="K37" s="29" t="n">
        <v>3.339937</v>
      </c>
      <c r="L37" s="29" t="n">
        <v>2.345403</v>
      </c>
      <c r="M37" s="29" t="n">
        <v>3.559596</v>
      </c>
      <c r="N37" s="29" t="n">
        <v>1.84075</v>
      </c>
      <c r="O37" s="29" t="n">
        <v>2.75695</v>
      </c>
    </row>
    <row r="38">
      <c r="C38" s="10" t="n">
        <v>1999</v>
      </c>
      <c r="D38" s="29" t="n">
        <v>2.471738</v>
      </c>
      <c r="E38" s="29" t="n">
        <v>2.80677</v>
      </c>
      <c r="F38" s="29" t="n">
        <v>1.977828</v>
      </c>
      <c r="G38" s="29" t="n">
        <v>2.065584</v>
      </c>
      <c r="H38" s="29" t="n">
        <v>1.514406</v>
      </c>
      <c r="I38" s="29" t="n">
        <v>2.744794</v>
      </c>
      <c r="J38" s="29" t="n">
        <v>2.409143</v>
      </c>
      <c r="K38" s="29" t="n">
        <v>2.346349</v>
      </c>
      <c r="L38" s="29" t="n">
        <v>2.273314</v>
      </c>
      <c r="M38" s="29" t="n">
        <v>2.995491</v>
      </c>
      <c r="N38" s="29" t="n">
        <v>3.058495</v>
      </c>
      <c r="O38" s="29" t="n">
        <v>3.161438</v>
      </c>
    </row>
    <row r="39">
      <c r="C39" s="10" t="n">
        <v>2000</v>
      </c>
      <c r="D39" s="29" t="n">
        <v>2.938367</v>
      </c>
      <c r="E39" s="29" t="n">
        <v>2.661994</v>
      </c>
      <c r="F39" s="29" t="n">
        <v>2.534561</v>
      </c>
      <c r="G39" s="29" t="n">
        <v>2.09845</v>
      </c>
      <c r="H39" s="29" t="n">
        <v>1.941451</v>
      </c>
      <c r="I39" s="29" t="n">
        <v>3.127046</v>
      </c>
      <c r="J39" s="29" t="n">
        <v>3.076355</v>
      </c>
      <c r="K39" s="29" t="n">
        <v>2.670314</v>
      </c>
      <c r="L39" s="29" t="n">
        <v>1.916415</v>
      </c>
      <c r="M39" s="29" t="n">
        <v>2.880736</v>
      </c>
      <c r="N39" s="29" t="n">
        <v>3.163099</v>
      </c>
      <c r="O39" s="29" t="n">
        <v>2.44578</v>
      </c>
    </row>
    <row r="40">
      <c r="C40" s="10" t="n">
        <v>2001</v>
      </c>
      <c r="D40" s="29" t="n">
        <v>1.869981</v>
      </c>
      <c r="E40" s="29" t="n">
        <v>2.329841</v>
      </c>
      <c r="F40" s="29" t="n">
        <v>1.423334</v>
      </c>
      <c r="G40" s="29" t="n">
        <v>2.305831</v>
      </c>
      <c r="H40" s="29" t="n">
        <v>1.712367</v>
      </c>
      <c r="I40" s="29" t="n">
        <v>2.476702</v>
      </c>
      <c r="J40" s="29" t="n">
        <v>3.12454</v>
      </c>
      <c r="K40" s="29" t="n">
        <v>3.081072</v>
      </c>
      <c r="L40" s="29" t="n">
        <v>2.91489</v>
      </c>
      <c r="M40" s="29" t="n">
        <v>2.918379</v>
      </c>
      <c r="N40" s="29" t="n">
        <v>3.178722</v>
      </c>
      <c r="O40" s="29" t="n">
        <v>2.080841</v>
      </c>
    </row>
    <row r="41">
      <c r="C41" s="10" t="n">
        <v>2002</v>
      </c>
      <c r="D41" s="29" t="n">
        <v>2.936656</v>
      </c>
      <c r="E41" s="29" t="n">
        <v>3.217432</v>
      </c>
      <c r="F41" s="29" t="n">
        <v>2.106645</v>
      </c>
      <c r="G41" s="29" t="n">
        <v>1.286258</v>
      </c>
      <c r="H41" s="29" t="n">
        <v>1.509746</v>
      </c>
      <c r="I41" s="29" t="n">
        <v>2.55782</v>
      </c>
      <c r="J41" s="29" t="n">
        <v>2.846154</v>
      </c>
      <c r="K41" s="29" t="n">
        <v>1.499165</v>
      </c>
      <c r="L41" s="29" t="n">
        <v>2.096938</v>
      </c>
      <c r="M41" s="29" t="n">
        <v>2.267359</v>
      </c>
      <c r="N41" s="29" t="n">
        <v>1.824879</v>
      </c>
      <c r="O41" s="29" t="n">
        <v>1.369114</v>
      </c>
    </row>
    <row r="42">
      <c r="C42" s="10" t="n">
        <v>2003</v>
      </c>
      <c r="D42" s="29" t="n">
        <v>2.585146</v>
      </c>
      <c r="E42" s="29" t="n">
        <v>1.307851</v>
      </c>
      <c r="F42" s="29" t="n">
        <v>1.70952</v>
      </c>
      <c r="G42" s="29" t="n">
        <v>1.539731</v>
      </c>
      <c r="H42" s="29" t="n">
        <v>2.530549</v>
      </c>
      <c r="I42" s="29" t="n">
        <v>2.043866</v>
      </c>
      <c r="J42" s="29" t="n">
        <v>2.338625</v>
      </c>
      <c r="K42" s="29" t="n">
        <v>2.892999</v>
      </c>
      <c r="L42" s="29" t="n">
        <v>2.571749</v>
      </c>
      <c r="M42" s="29" t="n">
        <v>2.570131</v>
      </c>
      <c r="N42" s="29" t="n">
        <v>2.084772</v>
      </c>
      <c r="O42" s="29" t="n">
        <v>3.291188</v>
      </c>
    </row>
    <row r="43">
      <c r="C43" s="10" t="n">
        <v>2004</v>
      </c>
      <c r="D43" s="29" t="n">
        <v>2.024548</v>
      </c>
      <c r="E43" s="29" t="n">
        <v>2.371782</v>
      </c>
      <c r="F43" s="29" t="n">
        <v>1.678972</v>
      </c>
      <c r="G43" s="29" t="n">
        <v>1.257828</v>
      </c>
      <c r="H43" s="29" t="n">
        <v>1.843233</v>
      </c>
      <c r="I43" s="29" t="n">
        <v>2.734071</v>
      </c>
      <c r="J43" s="29" t="n">
        <v>3.095646</v>
      </c>
      <c r="K43" s="29" t="n">
        <v>2.911198</v>
      </c>
      <c r="L43" s="29" t="n">
        <v>3.33021</v>
      </c>
      <c r="M43" s="29" t="n">
        <v>2.426181</v>
      </c>
      <c r="N43" s="29" t="n">
        <v>2.988683</v>
      </c>
      <c r="O43" s="29" t="n">
        <v>3.222691</v>
      </c>
    </row>
    <row r="44">
      <c r="C44" s="10" t="n">
        <v>2005</v>
      </c>
      <c r="D44" s="29" t="n">
        <v>3.318569</v>
      </c>
      <c r="E44" s="29" t="n">
        <v>1.837527</v>
      </c>
      <c r="F44" s="29" t="n">
        <v>1.355464</v>
      </c>
      <c r="G44" s="29" t="n">
        <v>1.438441</v>
      </c>
      <c r="H44" s="29" t="n">
        <v>2.623675</v>
      </c>
      <c r="I44" s="29" t="n">
        <v>2.577939</v>
      </c>
      <c r="J44" s="29" t="n">
        <v>2.463993</v>
      </c>
      <c r="K44" s="29" t="n">
        <v>3.373447</v>
      </c>
      <c r="L44" s="29" t="n">
        <v>2.80851</v>
      </c>
      <c r="M44" s="29" t="n">
        <v>2.542063</v>
      </c>
      <c r="N44" s="29" t="n">
        <v>3.252523</v>
      </c>
      <c r="O44" s="29" t="n">
        <v>2.252131</v>
      </c>
    </row>
    <row r="45">
      <c r="C45" s="10" t="n">
        <v>2006</v>
      </c>
      <c r="D45" s="29" t="n">
        <v>2.118969</v>
      </c>
      <c r="E45" s="29" t="n">
        <v>1.850856</v>
      </c>
      <c r="F45" s="29" t="n">
        <v>1.501206</v>
      </c>
      <c r="G45" s="29" t="n">
        <v>1.802446</v>
      </c>
      <c r="H45" s="29" t="n">
        <v>2.00879</v>
      </c>
      <c r="I45" s="29" t="n">
        <v>1.830422</v>
      </c>
      <c r="J45" s="29" t="n">
        <v>1.699199</v>
      </c>
      <c r="K45" s="29" t="n">
        <v>2.604464</v>
      </c>
      <c r="L45" s="29" t="n">
        <v>2.555806</v>
      </c>
      <c r="M45" s="29" t="n">
        <v>3.562056</v>
      </c>
      <c r="N45" s="29" t="n">
        <v>3.486362</v>
      </c>
      <c r="O45" s="29" t="n">
        <v>3.375322</v>
      </c>
    </row>
    <row r="46">
      <c r="C46" s="10" t="n">
        <v>2007</v>
      </c>
      <c r="D46" s="29" t="n">
        <v>3.531178</v>
      </c>
      <c r="E46" s="29" t="n">
        <v>1.884877</v>
      </c>
      <c r="F46" s="29" t="n">
        <v>1.927496</v>
      </c>
      <c r="G46" s="29" t="n">
        <v>1.993481</v>
      </c>
      <c r="H46" s="29" t="n">
        <v>2.478797</v>
      </c>
      <c r="I46" s="29" t="n">
        <v>2.019897</v>
      </c>
      <c r="J46" s="29" t="n">
        <v>3.462285</v>
      </c>
      <c r="K46" s="29" t="n">
        <v>2.889385</v>
      </c>
      <c r="L46" s="29" t="n">
        <v>3.292353</v>
      </c>
      <c r="M46" s="29" t="n">
        <v>2.509952</v>
      </c>
      <c r="N46" s="29" t="n">
        <v>2.940951</v>
      </c>
      <c r="O46" s="29" t="n">
        <v>2.686384</v>
      </c>
    </row>
    <row r="47">
      <c r="C47" s="10" t="n">
        <v>2008</v>
      </c>
      <c r="D47" s="29" t="n">
        <v>2.997451</v>
      </c>
      <c r="E47" s="29" t="n">
        <v>2.598154</v>
      </c>
      <c r="F47" s="29" t="n">
        <v>2.35227</v>
      </c>
      <c r="G47" s="29" t="n">
        <v>1.680285</v>
      </c>
      <c r="H47" s="29" t="n">
        <v>1.281098</v>
      </c>
      <c r="I47" s="29" t="n">
        <v>2.49141</v>
      </c>
      <c r="J47" s="29" t="n">
        <v>2.216229</v>
      </c>
      <c r="K47" s="29" t="n">
        <v>3.414934</v>
      </c>
      <c r="L47" s="29" t="n">
        <v>2.057055</v>
      </c>
      <c r="M47" s="29" t="n">
        <v>3.851616</v>
      </c>
      <c r="N47" s="29" t="n">
        <v>3.068495</v>
      </c>
      <c r="O47" s="29" t="n">
        <v>2.24103</v>
      </c>
    </row>
    <row r="48">
      <c r="C48" s="10" t="n">
        <v>2009</v>
      </c>
      <c r="D48" s="29" t="n">
        <v>2.182586</v>
      </c>
      <c r="E48" s="29" t="n">
        <v>1.947232</v>
      </c>
      <c r="F48" s="29" t="n">
        <v>1.889266</v>
      </c>
      <c r="G48" s="29" t="n">
        <v>1.187564</v>
      </c>
      <c r="H48" s="29" t="n">
        <v>1.994025</v>
      </c>
      <c r="I48" s="29" t="n">
        <v>2.339193</v>
      </c>
      <c r="J48" s="29" t="n">
        <v>3.28887</v>
      </c>
      <c r="K48" s="29" t="n">
        <v>2.870516</v>
      </c>
      <c r="L48" s="29" t="n">
        <v>3.186898</v>
      </c>
      <c r="M48" s="29" t="n">
        <v>2.575409</v>
      </c>
      <c r="N48" s="29" t="n">
        <v>2.922071</v>
      </c>
      <c r="O48" s="29" t="n">
        <v>2.154685</v>
      </c>
    </row>
    <row r="49">
      <c r="C49" s="10" t="n">
        <v>2010</v>
      </c>
      <c r="D49" s="29" t="n">
        <v>1.546931</v>
      </c>
      <c r="E49" s="29" t="n">
        <v>1.924336</v>
      </c>
      <c r="F49" s="29" t="n">
        <v>2.006758</v>
      </c>
      <c r="G49" s="29" t="n">
        <v>1.657598</v>
      </c>
      <c r="H49" s="29" t="n">
        <v>2.126876</v>
      </c>
      <c r="I49" s="29" t="n">
        <v>2.463785</v>
      </c>
      <c r="J49" s="29" t="n">
        <v>3.036996</v>
      </c>
      <c r="K49" s="29" t="n">
        <v>3.060889</v>
      </c>
      <c r="L49" s="29" t="n">
        <v>2.57521</v>
      </c>
      <c r="M49" s="29" t="n">
        <v>2.839055</v>
      </c>
      <c r="N49" s="29" t="n">
        <v>2.421525</v>
      </c>
      <c r="O49" s="29" t="n">
        <v>2.090779</v>
      </c>
    </row>
    <row r="50">
      <c r="C50" s="10" t="n">
        <v>2011</v>
      </c>
      <c r="D50" s="29" t="n">
        <v>2.50294</v>
      </c>
      <c r="E50" s="29" t="n">
        <v>1.907956</v>
      </c>
      <c r="F50" s="29" t="n">
        <v>2.134533</v>
      </c>
      <c r="G50" s="29" t="n">
        <v>1.550337</v>
      </c>
      <c r="H50" s="29" t="n">
        <v>2.237286</v>
      </c>
      <c r="I50" s="29" t="n">
        <v>2.760791</v>
      </c>
      <c r="J50" s="29" t="n">
        <v>3.208104</v>
      </c>
      <c r="K50" s="29" t="n">
        <v>3.33395</v>
      </c>
      <c r="L50" s="29" t="n">
        <v>3.498671</v>
      </c>
      <c r="M50" s="29" t="n">
        <v>3.107614</v>
      </c>
      <c r="N50" s="29" t="n">
        <v>2.361067</v>
      </c>
      <c r="O50" s="29" t="n">
        <v>3.518816</v>
      </c>
    </row>
    <row r="51">
      <c r="C51" s="10" t="n">
        <v>2012</v>
      </c>
      <c r="D51" s="29" t="n">
        <v>2.483257</v>
      </c>
      <c r="E51" s="29" t="n">
        <v>2.584426</v>
      </c>
      <c r="F51" s="29" t="n">
        <v>2.209212</v>
      </c>
      <c r="G51" s="29" t="n">
        <v>2.225795</v>
      </c>
      <c r="H51" s="29" t="n">
        <v>2.154929</v>
      </c>
      <c r="I51" s="29" t="n">
        <v>2.912292</v>
      </c>
      <c r="J51" s="29" t="n">
        <v>3.333985</v>
      </c>
      <c r="K51" s="29" t="n">
        <v>2.610411</v>
      </c>
      <c r="L51" s="29" t="n">
        <v>3.588385</v>
      </c>
      <c r="M51" s="29" t="n">
        <v>3.266223</v>
      </c>
      <c r="N51" s="29" t="n">
        <v>3.016056</v>
      </c>
      <c r="O51" s="29" t="n">
        <v>2.449762</v>
      </c>
    </row>
    <row r="52">
      <c r="C52" s="10" t="n">
        <v>2013</v>
      </c>
      <c r="D52" s="29" t="n">
        <v>1.819046</v>
      </c>
      <c r="E52" s="29" t="n">
        <v>1.629924</v>
      </c>
      <c r="F52" s="29" t="n">
        <v>1.215514</v>
      </c>
      <c r="G52" s="29" t="n">
        <v>1.950385</v>
      </c>
      <c r="H52" s="29" t="n">
        <v>1.936158</v>
      </c>
      <c r="I52" s="29" t="n">
        <v>2.800613</v>
      </c>
      <c r="J52" s="29" t="n">
        <v>2.463319</v>
      </c>
      <c r="K52" s="29" t="n">
        <v>2.603879</v>
      </c>
      <c r="L52" s="29" t="n">
        <v>2.385753</v>
      </c>
      <c r="M52" s="29" t="n">
        <v>2.927482</v>
      </c>
      <c r="N52" s="29" t="n">
        <v>3.23648</v>
      </c>
      <c r="O52" s="29" t="n">
        <v>3.513035</v>
      </c>
    </row>
    <row r="53">
      <c r="C53" s="10" t="n">
        <v>2014</v>
      </c>
      <c r="D53" s="29" t="n">
        <v>1.83467</v>
      </c>
      <c r="E53" s="29" t="n">
        <v>2.273757</v>
      </c>
      <c r="F53" s="29" t="n">
        <v>2.330835</v>
      </c>
      <c r="G53" s="29" t="n">
        <v>1.641317</v>
      </c>
      <c r="H53" s="29" t="n">
        <v>2.116914</v>
      </c>
      <c r="I53" s="29" t="n">
        <v>2.231357</v>
      </c>
      <c r="J53" s="29" t="n">
        <v>1.890115</v>
      </c>
      <c r="K53" s="29" t="n">
        <v>3.402344</v>
      </c>
      <c r="L53" s="29" t="n">
        <v>1.983717</v>
      </c>
      <c r="M53" s="29" t="n">
        <v>3.132233</v>
      </c>
      <c r="N53" s="29" t="n">
        <v>2.142376</v>
      </c>
      <c r="O53" s="29" t="n">
        <v>3.109526</v>
      </c>
    </row>
    <row r="54">
      <c r="C54" s="10" t="n">
        <v>2015</v>
      </c>
      <c r="D54" s="29" t="n">
        <v>3.315701</v>
      </c>
      <c r="E54" s="29" t="n">
        <v>2.465455</v>
      </c>
      <c r="F54" s="29" t="n">
        <v>2.343868</v>
      </c>
      <c r="G54" s="29" t="n">
        <v>2.128865</v>
      </c>
      <c r="H54" s="29" t="n">
        <v>2.814517</v>
      </c>
      <c r="I54" s="29" t="n">
        <v>2.573337</v>
      </c>
      <c r="J54" s="29" t="n">
        <v>3.27042</v>
      </c>
      <c r="K54" s="29" t="n">
        <v>2.101485</v>
      </c>
      <c r="L54" s="29" t="n">
        <v>2.99636</v>
      </c>
      <c r="M54" s="29" t="n">
        <v>1.815692</v>
      </c>
      <c r="N54" s="29" t="n">
        <v>3.463989</v>
      </c>
      <c r="O54" s="29" t="n">
        <v>3.354871</v>
      </c>
    </row>
    <row r="55">
      <c r="C55" s="10" t="n">
        <v>2016</v>
      </c>
      <c r="D55" s="29" t="n">
        <v>2.116283</v>
      </c>
      <c r="E55" s="29" t="n">
        <v>2.502039</v>
      </c>
      <c r="F55" s="29" t="n">
        <v>1.654974</v>
      </c>
      <c r="G55" s="29" t="n">
        <v>2.189381</v>
      </c>
      <c r="H55" s="29" t="n">
        <v>1.595171</v>
      </c>
      <c r="I55" s="29" t="n">
        <v>2.526776</v>
      </c>
      <c r="J55" s="29" t="n">
        <v>3.304812</v>
      </c>
      <c r="K55" s="29" t="n">
        <v>3.521145</v>
      </c>
      <c r="L55" s="29" t="n">
        <v>2.147188</v>
      </c>
      <c r="M55" s="29" t="n">
        <v>1.66042</v>
      </c>
      <c r="N55" s="29" t="n">
        <v>3.092749</v>
      </c>
      <c r="O55" s="29" t="n">
        <v>2.7703</v>
      </c>
    </row>
    <row r="56">
      <c r="C56" s="11" t="n">
        <v>2017</v>
      </c>
      <c r="D56" s="29" t="n">
        <v>2.443758</v>
      </c>
      <c r="E56" s="29" t="n">
        <v>2.024658</v>
      </c>
      <c r="F56" s="29" t="n">
        <v>2.225787</v>
      </c>
      <c r="G56" s="29" t="n">
        <v>2.288009</v>
      </c>
      <c r="H56" s="29" t="n">
        <v>1.413418</v>
      </c>
      <c r="I56" s="29" t="n">
        <v>2.695785</v>
      </c>
      <c r="J56" s="29" t="n">
        <v>2.842984</v>
      </c>
      <c r="K56" s="29" t="n">
        <v>3.542614</v>
      </c>
      <c r="L56" s="29" t="n">
        <v>2.753282</v>
      </c>
      <c r="M56" s="29" t="n">
        <v>3.680391</v>
      </c>
      <c r="N56" s="29" t="n">
        <v>3.366342</v>
      </c>
      <c r="O56" s="29" t="n">
        <v>3.336768</v>
      </c>
    </row>
    <row r="57">
      <c r="C57" s="11" t="n">
        <v>2018</v>
      </c>
      <c r="D57" s="29" t="n">
        <v>2.459904</v>
      </c>
      <c r="E57" s="29" t="n">
        <v>1.435283</v>
      </c>
      <c r="F57" s="29" t="n">
        <v>1.462589</v>
      </c>
      <c r="G57" s="29" t="n">
        <v>1.775632</v>
      </c>
      <c r="H57" s="29" t="n">
        <v>1.042786</v>
      </c>
      <c r="I57" s="29" t="n">
        <v>2.181059</v>
      </c>
      <c r="J57" s="29" t="n">
        <v>1.527724</v>
      </c>
      <c r="K57" s="29" t="n">
        <v>3.524988</v>
      </c>
      <c r="L57" s="29" t="n">
        <v>3.77671</v>
      </c>
      <c r="M57" s="29" t="n">
        <v>2.8725</v>
      </c>
      <c r="N57" s="29" t="n">
        <v>1.785757</v>
      </c>
      <c r="O57" s="29" t="n">
        <v>2.476887</v>
      </c>
    </row>
    <row r="58">
      <c r="C58" s="11" t="n">
        <v>2019</v>
      </c>
      <c r="D58" s="29" t="n">
        <v>2.467308</v>
      </c>
      <c r="E58" s="29" t="n">
        <v>2.622939</v>
      </c>
      <c r="F58" s="29" t="n">
        <v>2.892912</v>
      </c>
      <c r="G58" s="29" t="n">
        <v>0.7374113</v>
      </c>
      <c r="H58" s="29" t="n">
        <v>2.607549</v>
      </c>
      <c r="I58" s="29" t="n">
        <v>2.537139</v>
      </c>
      <c r="J58" s="29" t="n">
        <v>2.073837</v>
      </c>
      <c r="K58" s="29" t="n">
        <v>2.811501</v>
      </c>
      <c r="L58" s="29" t="n">
        <v>3.322692</v>
      </c>
      <c r="M58" s="29" t="n">
        <v>3.144602</v>
      </c>
      <c r="N58" s="29" t="n">
        <v>2.668708</v>
      </c>
      <c r="O58" s="29" t="n">
        <v>3.196076</v>
      </c>
    </row>
    <row r="59">
      <c r="C59" s="11" t="n">
        <v>2020</v>
      </c>
      <c r="D59" s="29" t="n">
        <v>3.612051</v>
      </c>
      <c r="E59" s="29" t="n">
        <v>3.398468</v>
      </c>
      <c r="F59" s="29" t="n">
        <v>2.659352</v>
      </c>
      <c r="G59" s="29" t="n">
        <v>1.778805</v>
      </c>
      <c r="H59" s="29" t="n">
        <v>1.780864</v>
      </c>
      <c r="I59" s="29" t="n">
        <v>2.051301</v>
      </c>
      <c r="J59" s="29" t="n">
        <v>3.550391</v>
      </c>
      <c r="K59" s="29" t="n">
        <v>2.255218</v>
      </c>
      <c r="L59" s="29" t="n">
        <v>3.191587</v>
      </c>
      <c r="M59" s="29" t="n">
        <v>3.168023</v>
      </c>
      <c r="N59" s="29" t="n">
        <v>3.300976</v>
      </c>
      <c r="O59" s="29" t="n">
        <v>2.747999</v>
      </c>
    </row>
    <row r="60">
      <c r="C60" s="11" t="n">
        <v>2021</v>
      </c>
      <c r="D60" s="29" t="n">
        <v>2.289479</v>
      </c>
      <c r="E60" s="29" t="n">
        <v>1.778613</v>
      </c>
      <c r="F60" s="29" t="n">
        <v>2.108156</v>
      </c>
      <c r="G60" s="29" t="n">
        <v>1.825822</v>
      </c>
      <c r="H60" s="29" t="n">
        <v>2.543534</v>
      </c>
      <c r="I60" s="29" t="n">
        <v>2.027904</v>
      </c>
      <c r="J60" s="29" t="n">
        <v>2.314503</v>
      </c>
      <c r="K60" s="29" t="n">
        <v>3.334291</v>
      </c>
      <c r="L60" s="29" t="n">
        <v>2.512394</v>
      </c>
      <c r="M60" s="29" t="n">
        <v>3.973963</v>
      </c>
      <c r="N60" s="29" t="n">
        <v>3.012337</v>
      </c>
      <c r="O60" s="29" t="n">
        <v>2.183298</v>
      </c>
    </row>
    <row r="61">
      <c r="C61" s="11" t="n">
        <v>2022</v>
      </c>
      <c r="D61" s="29" t="n">
        <v>3.208039</v>
      </c>
      <c r="E61" s="29" t="n">
        <v>3.253463</v>
      </c>
      <c r="F61" s="29" t="n">
        <v>1.386446</v>
      </c>
      <c r="G61" s="29" t="n">
        <v>1.609925</v>
      </c>
      <c r="H61" s="29" t="n">
        <v>2.262022</v>
      </c>
      <c r="I61" s="29" t="n">
        <v>2.339093</v>
      </c>
      <c r="J61" s="29" t="n">
        <v>3.218888</v>
      </c>
      <c r="K61" s="29" t="n">
        <v>3.10021</v>
      </c>
      <c r="L61" s="29" t="n">
        <v>2.359295</v>
      </c>
      <c r="M61" s="29" t="n">
        <v>2.913014</v>
      </c>
      <c r="N61" s="29" t="n">
        <v>2.165667</v>
      </c>
      <c r="O61" s="29" t="n">
        <v>2.71975</v>
      </c>
    </row>
    <row r="62">
      <c r="C62" s="11" t="n">
        <v>2023</v>
      </c>
      <c r="D62" s="29" t="n">
        <v>3.281584</v>
      </c>
      <c r="E62" s="29" t="n">
        <v>2.494901</v>
      </c>
      <c r="F62" s="29" t="n">
        <v>2.586337</v>
      </c>
      <c r="G62" s="29" t="n">
        <v>1.367376</v>
      </c>
      <c r="H62" s="29" t="n">
        <v>1.60059</v>
      </c>
      <c r="I62" s="29" t="n">
        <v>1.472873</v>
      </c>
      <c r="J62" s="29" t="n">
        <v>3.22513</v>
      </c>
      <c r="K62" s="29" t="n">
        <v>3.857133</v>
      </c>
      <c r="L62" s="29" t="n">
        <v>3.385905</v>
      </c>
      <c r="M62" s="29" t="n">
        <v>3.445944</v>
      </c>
      <c r="N62" s="29" t="n">
        <v>2.672371</v>
      </c>
      <c r="O62" s="29" t="n">
        <v>2.555799</v>
      </c>
    </row>
    <row r="63">
      <c r="C63" s="11" t="n">
        <v>2024</v>
      </c>
      <c r="D63" s="29" t="n">
        <v>2.764838</v>
      </c>
      <c r="E63" s="29" t="n">
        <v>2.883959</v>
      </c>
      <c r="F63" s="29" t="n">
        <v>1.735506</v>
      </c>
      <c r="G63" s="29" t="n">
        <v>2.37406</v>
      </c>
      <c r="H63" s="29" t="n">
        <v>1.117819</v>
      </c>
      <c r="I63" s="29" t="n">
        <v>2.987141</v>
      </c>
      <c r="J63" s="29" t="n">
        <v>3.470335</v>
      </c>
      <c r="K63" s="29" t="n">
        <v>3.252339</v>
      </c>
      <c r="L63" s="29" t="n">
        <v>2.776619</v>
      </c>
      <c r="M63" s="29" t="n">
        <v>3.179349</v>
      </c>
      <c r="N63" s="29" t="n">
        <v>2.966798</v>
      </c>
      <c r="O63" s="29" t="n">
        <v>3.322925</v>
      </c>
    </row>
    <row r="64">
      <c r="C64" s="11" t="n">
        <v>2025</v>
      </c>
      <c r="D64" s="29" t="n">
        <v>3.058613</v>
      </c>
      <c r="E64" s="29" t="n">
        <v>1.605562</v>
      </c>
      <c r="F64" s="29" t="n">
        <v>2.21342</v>
      </c>
      <c r="G64" s="29" t="n">
        <v>1.727313</v>
      </c>
      <c r="H64" s="29" t="n">
        <v>2.084572</v>
      </c>
      <c r="I64" s="29" t="n">
        <v>2.953224</v>
      </c>
      <c r="J64" s="29" t="n">
        <v>2.615131</v>
      </c>
      <c r="K64" s="29" t="n">
        <v>2.991304</v>
      </c>
      <c r="L64" s="29" t="n">
        <v>2.890812</v>
      </c>
      <c r="M64" s="29" t="n">
        <v>3.292037</v>
      </c>
      <c r="N64" s="29" t="n">
        <v>3.029938</v>
      </c>
      <c r="O64" s="29" t="n">
        <v>2.815372</v>
      </c>
    </row>
    <row r="65">
      <c r="C65" s="12" t="n">
        <v>2026</v>
      </c>
      <c r="D65" s="29" t="n">
        <v>1.503</v>
      </c>
      <c r="E65" s="29" t="n">
        <v>1.641</v>
      </c>
      <c r="F65" s="29" t="n">
        <v>2.299</v>
      </c>
      <c r="G65" s="29" t="n">
        <v>1.247521</v>
      </c>
      <c r="H65" s="29" t="n">
        <v>2.189102192078867</v>
      </c>
      <c r="I65" s="29" t="n">
        <v>3.081081310908</v>
      </c>
      <c r="J65" s="29" t="n"/>
      <c r="K65" s="29" t="n"/>
      <c r="L65" s="29" t="n"/>
      <c r="M65" s="29" t="n"/>
      <c r="N65" s="29" t="n"/>
      <c r="O65" s="29" t="n"/>
    </row>
    <row r="66">
      <c r="C66" s="7" t="inlineStr">
        <is>
          <t>50Y Avg</t>
        </is>
      </c>
      <c r="D66" s="30">
        <f>AVERAGE(D15:D64)</f>
        <v/>
      </c>
      <c r="E66" s="30">
        <f>AVERAGE(E15:E64)</f>
        <v/>
      </c>
      <c r="F66" s="30">
        <f>AVERAGE(F15:F64)</f>
        <v/>
      </c>
      <c r="G66" s="30">
        <f>AVERAGE(G15:G64)</f>
        <v/>
      </c>
      <c r="H66" s="30">
        <f>AVERAGE(H15:H64)</f>
        <v/>
      </c>
      <c r="I66" s="30">
        <f>AVERAGE(I15:I64)</f>
        <v/>
      </c>
      <c r="J66" s="30">
        <f>AVERAGE(J15:J64)</f>
        <v/>
      </c>
      <c r="K66" s="30">
        <f>AVERAGE(K15:K64)</f>
        <v/>
      </c>
      <c r="L66" s="30">
        <f>AVERAGE(L15:L64)</f>
        <v/>
      </c>
      <c r="M66" s="30">
        <f>AVERAGE(M15:M64)</f>
        <v/>
      </c>
      <c r="N66" s="30">
        <f>AVERAGE(N15:N64)</f>
        <v/>
      </c>
      <c r="O66" s="30">
        <f>AVERAGE(O15:O64)</f>
        <v/>
      </c>
    </row>
    <row r="67">
      <c r="C67" s="8" t="inlineStr">
        <is>
          <t>Min</t>
        </is>
      </c>
      <c r="D67" s="31">
        <f>MIN(D15:D64)</f>
        <v/>
      </c>
      <c r="E67" s="31">
        <f>MIN(E15:E64)</f>
        <v/>
      </c>
      <c r="F67" s="31">
        <f>MIN(F15:F64)</f>
        <v/>
      </c>
      <c r="G67" s="31">
        <f>MIN(G15:G64)</f>
        <v/>
      </c>
      <c r="H67" s="31">
        <f>MIN(H15:H64)</f>
        <v/>
      </c>
      <c r="I67" s="31">
        <f>MIN(I15:I64)</f>
        <v/>
      </c>
      <c r="J67" s="31">
        <f>MIN(J15:J64)</f>
        <v/>
      </c>
      <c r="K67" s="31">
        <f>MIN(K15:K64)</f>
        <v/>
      </c>
      <c r="L67" s="31">
        <f>MIN(L15:L64)</f>
        <v/>
      </c>
      <c r="M67" s="31">
        <f>MIN(M15:M64)</f>
        <v/>
      </c>
      <c r="N67" s="31">
        <f>MIN(N15:N64)</f>
        <v/>
      </c>
      <c r="O67" s="31">
        <f>MIN(O15:O64)</f>
        <v/>
      </c>
    </row>
    <row r="68">
      <c r="C68" s="8" t="inlineStr">
        <is>
          <t>50Y Range</t>
        </is>
      </c>
      <c r="D68" s="31">
        <f>D69-D67</f>
        <v/>
      </c>
      <c r="E68" s="31">
        <f>E69-E67</f>
        <v/>
      </c>
      <c r="F68" s="31">
        <f>F69-F67</f>
        <v/>
      </c>
      <c r="G68" s="31">
        <f>G69-G67</f>
        <v/>
      </c>
      <c r="H68" s="31">
        <f>H69-H67</f>
        <v/>
      </c>
      <c r="I68" s="31">
        <f>I69-I67</f>
        <v/>
      </c>
      <c r="J68" s="31">
        <f>J69-J67</f>
        <v/>
      </c>
      <c r="K68" s="31">
        <f>K69-K67</f>
        <v/>
      </c>
      <c r="L68" s="31">
        <f>L69-L67</f>
        <v/>
      </c>
      <c r="M68" s="31">
        <f>M69-M67</f>
        <v/>
      </c>
      <c r="N68" s="31">
        <f>N69-N67</f>
        <v/>
      </c>
      <c r="O68" s="31">
        <f>O69-O67</f>
        <v/>
      </c>
    </row>
    <row r="69">
      <c r="C69" s="9" t="inlineStr">
        <is>
          <t>Max</t>
        </is>
      </c>
      <c r="D69" s="32">
        <f>MAX(D15:D64)</f>
        <v/>
      </c>
      <c r="E69" s="32">
        <f>MAX(E15:E64)</f>
        <v/>
      </c>
      <c r="F69" s="32">
        <f>MAX(F15:F64)</f>
        <v/>
      </c>
      <c r="G69" s="32">
        <f>MAX(G15:G64)</f>
        <v/>
      </c>
      <c r="H69" s="32">
        <f>MAX(H15:H64)</f>
        <v/>
      </c>
      <c r="I69" s="32">
        <f>MAX(I15:I64)</f>
        <v/>
      </c>
      <c r="J69" s="32">
        <f>MAX(J15:J64)</f>
        <v/>
      </c>
      <c r="K69" s="32">
        <f>MAX(K15:K64)</f>
        <v/>
      </c>
      <c r="L69" s="32">
        <f>MAX(L15:L64)</f>
        <v/>
      </c>
      <c r="M69" s="32">
        <f>MAX(M15:M64)</f>
        <v/>
      </c>
      <c r="N69" s="32">
        <f>MAX(N15:N64)</f>
        <v/>
      </c>
      <c r="O69" s="32">
        <f>MAX(O15:O64)</f>
        <v/>
      </c>
    </row>
    <row r="70">
      <c r="D70" s="33" t="n"/>
      <c r="E70" s="33" t="n"/>
    </row>
    <row r="71">
      <c r="B71" s="24" t="inlineStr">
        <is>
          <t>Monthly Reanalysis Fields</t>
        </is>
      </c>
    </row>
    <row r="86">
      <c r="C86" s="4" t="inlineStr">
        <is>
          <t>https://climexp.knmi.nl/selectfield_rea.cgi?id=someone@somewhere</t>
        </is>
      </c>
    </row>
    <row r="91">
      <c r="B91" s="4" t="n"/>
    </row>
    <row r="92">
      <c r="B92" s="4" t="n"/>
    </row>
    <row r="93">
      <c r="B93" s="4" t="n"/>
    </row>
    <row r="94">
      <c r="B94" s="4" t="n"/>
    </row>
    <row r="96">
      <c r="B96" s="4" t="n"/>
    </row>
  </sheetData>
  <dataValidations count="1">
    <dataValidation sqref="C8" showDropDown="0" showInputMessage="1" showErrorMessage="1" allowBlank="1" type="list">
      <formula1>#REF!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theme="9"/>
    <outlinePr summaryBelow="1" summaryRight="1"/>
    <pageSetUpPr/>
  </sheetPr>
  <dimension ref="A2:P84"/>
  <sheetViews>
    <sheetView zoomScale="115" zoomScaleNormal="115" workbookViewId="0">
      <pane xSplit="4" ySplit="9" topLeftCell="E61" activePane="bottomRight" state="frozen"/>
      <selection pane="topRight" activeCell="E1" sqref="E1"/>
      <selection pane="bottomLeft" activeCell="A10" sqref="A10"/>
      <selection pane="bottomRight" activeCell="G67" sqref="G67"/>
    </sheetView>
  </sheetViews>
  <sheetFormatPr baseColWidth="8" defaultColWidth="8.6640625" defaultRowHeight="11.25"/>
  <sheetData>
    <row r="2">
      <c r="C2" s="1" t="n"/>
      <c r="D2" s="1" t="inlineStr">
        <is>
          <t>Jan</t>
        </is>
      </c>
      <c r="E2" s="1" t="inlineStr">
        <is>
          <t>Feb</t>
        </is>
      </c>
      <c r="F2" s="1" t="inlineStr">
        <is>
          <t>Mar</t>
        </is>
      </c>
      <c r="G2" s="1" t="inlineStr">
        <is>
          <t>Apr</t>
        </is>
      </c>
      <c r="H2" s="1" t="inlineStr">
        <is>
          <t>May</t>
        </is>
      </c>
      <c r="I2" s="1" t="inlineStr">
        <is>
          <t>Jun</t>
        </is>
      </c>
      <c r="J2" s="1" t="inlineStr">
        <is>
          <t>Jul</t>
        </is>
      </c>
      <c r="K2" s="1" t="inlineStr">
        <is>
          <t>Aug</t>
        </is>
      </c>
      <c r="L2" s="1" t="inlineStr">
        <is>
          <t>Sep</t>
        </is>
      </c>
      <c r="M2" s="1" t="inlineStr">
        <is>
          <t>Oct</t>
        </is>
      </c>
      <c r="N2" s="1" t="inlineStr">
        <is>
          <t>Nov</t>
        </is>
      </c>
      <c r="O2" s="1" t="inlineStr">
        <is>
          <t>Dec</t>
        </is>
      </c>
      <c r="P2" s="1" t="inlineStr">
        <is>
          <t>Total</t>
        </is>
      </c>
    </row>
    <row r="3">
      <c r="C3" s="28" t="inlineStr">
        <is>
          <t>Days M</t>
        </is>
      </c>
      <c r="D3" s="28" t="n">
        <v>31</v>
      </c>
      <c r="E3" s="28" t="n">
        <v>28</v>
      </c>
      <c r="F3" s="28" t="n">
        <v>31</v>
      </c>
      <c r="G3" s="28" t="n">
        <v>30</v>
      </c>
      <c r="H3" s="28" t="n">
        <v>31</v>
      </c>
      <c r="I3" s="28" t="n">
        <v>30</v>
      </c>
      <c r="J3" s="28" t="n">
        <v>31</v>
      </c>
      <c r="K3" s="28" t="n">
        <v>31</v>
      </c>
      <c r="L3" s="28" t="n">
        <v>30</v>
      </c>
      <c r="M3" s="28" t="n">
        <v>31</v>
      </c>
      <c r="N3" s="28" t="n">
        <v>30</v>
      </c>
      <c r="O3" s="28" t="n">
        <v>31</v>
      </c>
      <c r="P3" s="28">
        <f>SUM(D3:O3)</f>
        <v/>
      </c>
    </row>
    <row r="4">
      <c r="C4" s="28" t="inlineStr">
        <is>
          <t>hours</t>
        </is>
      </c>
      <c r="D4" s="28">
        <f>D3*24</f>
        <v/>
      </c>
      <c r="E4" s="28">
        <f>E3*24</f>
        <v/>
      </c>
      <c r="F4" s="28">
        <f>F3*24</f>
        <v/>
      </c>
      <c r="G4" s="28">
        <f>G3*24</f>
        <v/>
      </c>
      <c r="H4" s="28">
        <f>H3*24</f>
        <v/>
      </c>
      <c r="I4" s="28">
        <f>I3*24</f>
        <v/>
      </c>
      <c r="J4" s="28">
        <f>J3*24</f>
        <v/>
      </c>
      <c r="K4" s="28">
        <f>K3*24</f>
        <v/>
      </c>
      <c r="L4" s="28">
        <f>L3*24</f>
        <v/>
      </c>
      <c r="M4" s="28">
        <f>M3*24</f>
        <v/>
      </c>
      <c r="N4" s="28">
        <f>N3*24</f>
        <v/>
      </c>
      <c r="O4" s="28">
        <f>O3*24</f>
        <v/>
      </c>
      <c r="P4" s="28">
        <f>SUM(D4:O4)</f>
        <v/>
      </c>
    </row>
    <row r="5">
      <c r="C5" s="28" t="inlineStr">
        <is>
          <t>Month</t>
        </is>
      </c>
      <c r="D5" s="28">
        <f>1</f>
        <v/>
      </c>
      <c r="E5" s="28">
        <f>D5+1</f>
        <v/>
      </c>
      <c r="F5" s="28">
        <f>E5+1</f>
        <v/>
      </c>
      <c r="G5" s="28">
        <f>F5+1</f>
        <v/>
      </c>
      <c r="H5" s="28">
        <f>G5+1</f>
        <v/>
      </c>
      <c r="I5" s="28">
        <f>H5+1</f>
        <v/>
      </c>
      <c r="J5" s="28">
        <f>I5+1</f>
        <v/>
      </c>
      <c r="K5" s="28">
        <f>J5+1</f>
        <v/>
      </c>
      <c r="L5" s="28">
        <f>K5+1</f>
        <v/>
      </c>
      <c r="M5" s="28">
        <f>L5+1</f>
        <v/>
      </c>
      <c r="N5" s="28">
        <f>M5+1</f>
        <v/>
      </c>
      <c r="O5" s="28">
        <f>N5+1</f>
        <v/>
      </c>
    </row>
    <row r="7">
      <c r="A7" s="28" t="inlineStr">
        <is>
          <t>Toggle</t>
        </is>
      </c>
    </row>
    <row r="8">
      <c r="A8" s="3" t="n">
        <v>1</v>
      </c>
      <c r="C8" s="13" t="inlineStr">
        <is>
          <t>Total</t>
        </is>
      </c>
      <c r="D8" s="2">
        <f>D$2</f>
        <v/>
      </c>
      <c r="E8" s="2">
        <f>E$2</f>
        <v/>
      </c>
      <c r="F8" s="2">
        <f>F$2</f>
        <v/>
      </c>
      <c r="G8" s="2">
        <f>G$2</f>
        <v/>
      </c>
      <c r="H8" s="2">
        <f>H$2</f>
        <v/>
      </c>
      <c r="I8" s="2">
        <f>I$2</f>
        <v/>
      </c>
      <c r="J8" s="2">
        <f>J$2</f>
        <v/>
      </c>
      <c r="K8" s="2">
        <f>K$2</f>
        <v/>
      </c>
      <c r="L8" s="2">
        <f>L$2</f>
        <v/>
      </c>
      <c r="M8" s="2">
        <f>M$2</f>
        <v/>
      </c>
      <c r="N8" s="2">
        <f>N$2</f>
        <v/>
      </c>
      <c r="O8" s="2">
        <f>O$2</f>
        <v/>
      </c>
      <c r="P8" s="28">
        <f>P$2</f>
        <v/>
      </c>
    </row>
    <row r="9">
      <c r="A9" s="14" t="n"/>
      <c r="C9" s="10" t="n">
        <v>1970</v>
      </c>
      <c r="D9" s="29" t="n">
        <v>-6.867889</v>
      </c>
      <c r="E9" s="29" t="n">
        <v>-9.168854</v>
      </c>
      <c r="F9" s="29" t="n">
        <v>-1.853302</v>
      </c>
      <c r="G9" s="29" t="n">
        <v>0.8992004</v>
      </c>
      <c r="H9" s="29" t="n">
        <v>7.059326</v>
      </c>
      <c r="I9" s="29" t="n">
        <v>13.16232</v>
      </c>
      <c r="J9" s="29" t="n">
        <v>14.06165</v>
      </c>
      <c r="K9" s="29" t="n">
        <v>13.86301</v>
      </c>
      <c r="L9" s="29" t="n">
        <v>9.382201999999999</v>
      </c>
      <c r="M9" s="29" t="n">
        <v>4.887177</v>
      </c>
      <c r="N9" s="29" t="n">
        <v>-0.8340759</v>
      </c>
      <c r="O9" s="29" t="n">
        <v>-1.80307</v>
      </c>
    </row>
    <row r="10">
      <c r="A10" s="14" t="n"/>
      <c r="C10" s="10" t="n">
        <v>1971</v>
      </c>
      <c r="D10" s="29" t="n">
        <v>-2.866852</v>
      </c>
      <c r="E10" s="29" t="n">
        <v>-4.209717</v>
      </c>
      <c r="F10" s="29" t="n">
        <v>-4.183624</v>
      </c>
      <c r="G10" s="29" t="n">
        <v>1.433258</v>
      </c>
      <c r="H10" s="29" t="n">
        <v>7.25177</v>
      </c>
      <c r="I10" s="29" t="n">
        <v>11.00192</v>
      </c>
      <c r="J10" s="29" t="n">
        <v>13.70251</v>
      </c>
      <c r="K10" s="29" t="n">
        <v>13.57925</v>
      </c>
      <c r="L10" s="29" t="n">
        <v>8.963531</v>
      </c>
      <c r="M10" s="29" t="n">
        <v>4.654816</v>
      </c>
      <c r="N10" s="29" t="n">
        <v>-1.617157</v>
      </c>
      <c r="O10" s="29" t="n">
        <v>-0.9011536</v>
      </c>
    </row>
    <row r="11">
      <c r="A11" s="14" t="n"/>
      <c r="C11" s="10" t="n">
        <v>1972</v>
      </c>
      <c r="D11" s="29" t="n">
        <v>-5.68689</v>
      </c>
      <c r="E11" s="29" t="n">
        <v>-3.486633</v>
      </c>
      <c r="F11" s="29" t="n">
        <v>-1.195465</v>
      </c>
      <c r="G11" s="29" t="n">
        <v>2.313019</v>
      </c>
      <c r="H11" s="29" t="n">
        <v>7.200745</v>
      </c>
      <c r="I11" s="29" t="n">
        <v>13.08527</v>
      </c>
      <c r="J11" s="29" t="n">
        <v>16.48227</v>
      </c>
      <c r="K11" s="29" t="n">
        <v>14.14941</v>
      </c>
      <c r="L11" s="29" t="n">
        <v>9.141449</v>
      </c>
      <c r="M11" s="29" t="n">
        <v>5.026581</v>
      </c>
      <c r="N11" s="29" t="n">
        <v>0.6297913000000001</v>
      </c>
      <c r="O11" s="29" t="n">
        <v>1.599396</v>
      </c>
    </row>
    <row r="12">
      <c r="A12" s="14" t="n"/>
      <c r="C12" s="10" t="n">
        <v>1973</v>
      </c>
      <c r="D12" s="29" t="n">
        <v>-1.291077</v>
      </c>
      <c r="E12" s="29" t="n">
        <v>-2.971771</v>
      </c>
      <c r="F12" s="29" t="n">
        <v>0.3358765</v>
      </c>
      <c r="G12" s="29" t="n">
        <v>2.078705</v>
      </c>
      <c r="H12" s="29" t="n">
        <v>7.308533</v>
      </c>
      <c r="I12" s="29" t="n">
        <v>12.63821</v>
      </c>
      <c r="J12" s="29" t="n">
        <v>16.14099</v>
      </c>
      <c r="K12" s="29" t="n">
        <v>12.9765</v>
      </c>
      <c r="L12" s="29" t="n">
        <v>8.001068</v>
      </c>
      <c r="M12" s="29" t="n">
        <v>2.694244</v>
      </c>
      <c r="N12" s="29" t="n">
        <v>-1.699982</v>
      </c>
      <c r="O12" s="29" t="n">
        <v>-4.65863</v>
      </c>
    </row>
    <row r="13">
      <c r="A13" s="14" t="n"/>
      <c r="C13" s="10" t="n">
        <v>1974</v>
      </c>
      <c r="D13" s="29" t="n">
        <v>-1.876587</v>
      </c>
      <c r="E13" s="29" t="n">
        <v>-0.8267822</v>
      </c>
      <c r="F13" s="29" t="n">
        <v>-0.1268005</v>
      </c>
      <c r="G13" s="29" t="n">
        <v>2.977325</v>
      </c>
      <c r="H13" s="29" t="n">
        <v>6.640686</v>
      </c>
      <c r="I13" s="29" t="n">
        <v>12.12509</v>
      </c>
      <c r="J13" s="29" t="n">
        <v>13.79889</v>
      </c>
      <c r="K13" s="29" t="n">
        <v>13.48178</v>
      </c>
      <c r="L13" s="29" t="n">
        <v>11.05054</v>
      </c>
      <c r="M13" s="29" t="n">
        <v>4.812927</v>
      </c>
      <c r="N13" s="29" t="n">
        <v>0.9887085</v>
      </c>
      <c r="O13" s="29" t="n">
        <v>-0.08782959</v>
      </c>
    </row>
    <row r="14">
      <c r="A14" s="14" t="n"/>
      <c r="C14" s="10" t="n">
        <v>1975</v>
      </c>
      <c r="D14" s="29" t="n">
        <v>-1.438293</v>
      </c>
      <c r="E14" s="29" t="n">
        <v>-1.628967</v>
      </c>
      <c r="F14" s="29" t="n">
        <v>0.39505</v>
      </c>
      <c r="G14" s="29" t="n">
        <v>2.352753</v>
      </c>
      <c r="H14" s="29" t="n">
        <v>8.001709</v>
      </c>
      <c r="I14" s="29" t="n">
        <v>10.6666</v>
      </c>
      <c r="J14" s="29" t="n">
        <v>14.13095</v>
      </c>
      <c r="K14" s="29" t="n">
        <v>14.07019</v>
      </c>
      <c r="L14" s="29" t="n">
        <v>10.89359</v>
      </c>
      <c r="M14" s="29" t="n">
        <v>5.443573</v>
      </c>
      <c r="N14" s="29" t="n">
        <v>1.461975</v>
      </c>
      <c r="O14" s="29" t="n">
        <v>-1.534363</v>
      </c>
    </row>
    <row r="15">
      <c r="A15" s="14" t="n"/>
      <c r="C15" s="10" t="n">
        <v>1976</v>
      </c>
      <c r="D15" s="29" t="n">
        <v>-6.823425</v>
      </c>
      <c r="E15" s="29" t="n">
        <v>-3.893677</v>
      </c>
      <c r="F15" s="29" t="n">
        <v>-3.287201</v>
      </c>
      <c r="G15" s="29" t="n">
        <v>1.726105</v>
      </c>
      <c r="H15" s="29" t="n">
        <v>7.988647</v>
      </c>
      <c r="I15" s="29" t="n">
        <v>10.68411</v>
      </c>
      <c r="J15" s="29" t="n">
        <v>13.95834</v>
      </c>
      <c r="K15" s="29" t="n">
        <v>13.60706</v>
      </c>
      <c r="L15" s="29" t="n">
        <v>7.828308</v>
      </c>
      <c r="M15" s="29" t="n">
        <v>3.354767</v>
      </c>
      <c r="N15" s="29" t="n">
        <v>0.6783447</v>
      </c>
      <c r="O15" s="29" t="n">
        <v>-3.659698</v>
      </c>
    </row>
    <row r="16">
      <c r="A16" s="14" t="n"/>
      <c r="C16" s="10" t="n">
        <v>1977</v>
      </c>
      <c r="D16" s="29" t="n">
        <v>-5.097687</v>
      </c>
      <c r="E16" s="29" t="n">
        <v>-6.096344</v>
      </c>
      <c r="F16" s="29" t="n">
        <v>-1.184204</v>
      </c>
      <c r="G16" s="29" t="n">
        <v>0.9675293</v>
      </c>
      <c r="H16" s="29" t="n">
        <v>6.732758</v>
      </c>
      <c r="I16" s="29" t="n">
        <v>11.12384</v>
      </c>
      <c r="J16" s="29" t="n">
        <v>13.23758</v>
      </c>
      <c r="K16" s="29" t="n">
        <v>12.88742</v>
      </c>
      <c r="L16" s="29" t="n">
        <v>8.309448</v>
      </c>
      <c r="M16" s="29" t="n">
        <v>5.347961</v>
      </c>
      <c r="N16" s="29" t="n">
        <v>1.489777</v>
      </c>
      <c r="O16" s="29" t="n">
        <v>-2.216278</v>
      </c>
    </row>
    <row r="17">
      <c r="A17" s="14" t="n"/>
      <c r="C17" s="10" t="n">
        <v>1978</v>
      </c>
      <c r="D17" s="29" t="n">
        <v>-4.60495</v>
      </c>
      <c r="E17" s="29" t="n">
        <v>-7.785187</v>
      </c>
      <c r="F17" s="29" t="n">
        <v>-1.809631</v>
      </c>
      <c r="G17" s="29" t="n">
        <v>1.233856</v>
      </c>
      <c r="H17" s="29" t="n">
        <v>7.19928</v>
      </c>
      <c r="I17" s="29" t="n">
        <v>11.69254</v>
      </c>
      <c r="J17" s="29" t="n">
        <v>13.33154</v>
      </c>
      <c r="K17" s="29" t="n">
        <v>12.70322</v>
      </c>
      <c r="L17" s="29" t="n">
        <v>8.230743</v>
      </c>
      <c r="M17" s="29" t="n">
        <v>4.447449</v>
      </c>
      <c r="N17" s="29" t="n">
        <v>1.832001</v>
      </c>
      <c r="O17" s="29" t="n">
        <v>-8.500061000000001</v>
      </c>
    </row>
    <row r="18">
      <c r="A18" s="14" t="n"/>
      <c r="C18" s="10" t="n">
        <v>1979</v>
      </c>
      <c r="D18" s="29" t="n">
        <v>-7.919098</v>
      </c>
      <c r="E18" s="29" t="n">
        <v>-6.988251</v>
      </c>
      <c r="F18" s="29" t="n">
        <v>-1.645721</v>
      </c>
      <c r="G18" s="29" t="n">
        <v>1.357452</v>
      </c>
      <c r="H18" s="29" t="n">
        <v>7.224762</v>
      </c>
      <c r="I18" s="29" t="n">
        <v>12.2886</v>
      </c>
      <c r="J18" s="29" t="n">
        <v>13.21429</v>
      </c>
      <c r="K18" s="29" t="n">
        <v>13.37869</v>
      </c>
      <c r="L18" s="29" t="n">
        <v>9.220734</v>
      </c>
      <c r="M18" s="29" t="n">
        <v>3.731171</v>
      </c>
      <c r="N18" s="29" t="n">
        <v>0.7018127</v>
      </c>
      <c r="O18" s="29" t="n">
        <v>-2.573761</v>
      </c>
    </row>
    <row r="19">
      <c r="A19" s="14" t="n"/>
      <c r="C19" s="10" t="n">
        <v>1980</v>
      </c>
      <c r="D19" s="29" t="n">
        <v>-6.467957</v>
      </c>
      <c r="E19" s="29" t="n">
        <v>-6.564301</v>
      </c>
      <c r="F19" s="29" t="n">
        <v>-3.848602</v>
      </c>
      <c r="G19" s="29" t="n">
        <v>3.064789</v>
      </c>
      <c r="H19" s="29" t="n">
        <v>6.453674</v>
      </c>
      <c r="I19" s="29" t="n">
        <v>13.2789</v>
      </c>
      <c r="J19" s="29" t="n">
        <v>14.4852</v>
      </c>
      <c r="K19" s="29" t="n">
        <v>13.35242</v>
      </c>
      <c r="L19" s="29" t="n">
        <v>10.24969</v>
      </c>
      <c r="M19" s="29" t="n">
        <v>4.092499</v>
      </c>
      <c r="N19" s="29" t="n">
        <v>-2.111023</v>
      </c>
      <c r="O19" s="29" t="n">
        <v>-3.34549</v>
      </c>
    </row>
    <row r="20">
      <c r="A20" s="14" t="n"/>
      <c r="C20" s="10" t="n">
        <v>1981</v>
      </c>
      <c r="D20" s="29" t="n">
        <v>-4.38324</v>
      </c>
      <c r="E20" s="29" t="n">
        <v>-4.70871</v>
      </c>
      <c r="F20" s="29" t="n">
        <v>-4.28009</v>
      </c>
      <c r="G20" s="29" t="n">
        <v>1.56012</v>
      </c>
      <c r="H20" s="29" t="n">
        <v>8.305939</v>
      </c>
      <c r="I20" s="29" t="n">
        <v>10.48865</v>
      </c>
      <c r="J20" s="29" t="n">
        <v>14.07437</v>
      </c>
      <c r="K20" s="29" t="n">
        <v>12.6694</v>
      </c>
      <c r="L20" s="29" t="n">
        <v>9.916259999999999</v>
      </c>
      <c r="M20" s="29" t="n">
        <v>5.300629</v>
      </c>
      <c r="N20" s="29" t="n">
        <v>0.05209351</v>
      </c>
      <c r="O20" s="29" t="n">
        <v>-7.065796</v>
      </c>
    </row>
    <row r="21">
      <c r="A21" s="14" t="n"/>
      <c r="C21" s="10" t="n">
        <v>1982</v>
      </c>
      <c r="D21" s="29" t="n">
        <v>-7.788208</v>
      </c>
      <c r="E21" s="29" t="n">
        <v>-3.516998</v>
      </c>
      <c r="F21" s="29" t="n">
        <v>-0.08227539</v>
      </c>
      <c r="G21" s="29" t="n">
        <v>2.391693</v>
      </c>
      <c r="H21" s="29" t="n">
        <v>6.955139</v>
      </c>
      <c r="I21" s="29" t="n">
        <v>9.639435000000001</v>
      </c>
      <c r="J21" s="29" t="n">
        <v>14.53436</v>
      </c>
      <c r="K21" s="29" t="n">
        <v>13.68951</v>
      </c>
      <c r="L21" s="29" t="n">
        <v>9.602112</v>
      </c>
      <c r="M21" s="29" t="n">
        <v>5.386993</v>
      </c>
      <c r="N21" s="29" t="n">
        <v>2.355194</v>
      </c>
      <c r="O21" s="29" t="n">
        <v>-0.9625854</v>
      </c>
    </row>
    <row r="22">
      <c r="A22" s="14" t="n"/>
      <c r="C22" s="10" t="n">
        <v>1983</v>
      </c>
      <c r="D22" s="29" t="n">
        <v>-1.42749</v>
      </c>
      <c r="E22" s="29" t="n">
        <v>-4.729156</v>
      </c>
      <c r="F22" s="29" t="n">
        <v>-1.215912</v>
      </c>
      <c r="G22" s="29" t="n">
        <v>3.634033</v>
      </c>
      <c r="H22" s="29" t="n">
        <v>8.496703999999999</v>
      </c>
      <c r="I22" s="29" t="n">
        <v>11.18018</v>
      </c>
      <c r="J22" s="29" t="n">
        <v>14.51776</v>
      </c>
      <c r="K22" s="29" t="n">
        <v>13.13828</v>
      </c>
      <c r="L22" s="29" t="n">
        <v>10.30045</v>
      </c>
      <c r="M22" s="29" t="n">
        <v>5.297821</v>
      </c>
      <c r="N22" s="29" t="n">
        <v>-1.072266</v>
      </c>
      <c r="O22" s="29" t="n">
        <v>-2.857513</v>
      </c>
    </row>
    <row r="23">
      <c r="A23" s="14" t="n"/>
      <c r="C23" s="10" t="n">
        <v>1984</v>
      </c>
      <c r="D23" s="29" t="n">
        <v>-4.746002</v>
      </c>
      <c r="E23" s="29" t="n">
        <v>-2.776001</v>
      </c>
      <c r="F23" s="29" t="n">
        <v>-2.974365</v>
      </c>
      <c r="G23" s="29" t="n">
        <v>3.626434</v>
      </c>
      <c r="H23" s="29" t="n">
        <v>9.351929</v>
      </c>
      <c r="I23" s="29" t="n">
        <v>11.48685</v>
      </c>
      <c r="J23" s="29" t="n">
        <v>13.26965</v>
      </c>
      <c r="K23" s="29" t="n">
        <v>13.36929</v>
      </c>
      <c r="L23" s="29" t="n">
        <v>9.118805</v>
      </c>
      <c r="M23" s="29" t="n">
        <v>6.307007</v>
      </c>
      <c r="N23" s="29" t="n">
        <v>0.9210815</v>
      </c>
      <c r="O23" s="29" t="n">
        <v>-0.9741516</v>
      </c>
    </row>
    <row r="24">
      <c r="A24" s="14" t="n"/>
      <c r="C24" s="10" t="n">
        <v>1985</v>
      </c>
      <c r="D24" s="29" t="n">
        <v>-9.806946</v>
      </c>
      <c r="E24" s="29" t="n">
        <v>-11.02835</v>
      </c>
      <c r="F24" s="29" t="n">
        <v>-1.770233</v>
      </c>
      <c r="G24" s="29" t="n">
        <v>0.7146301</v>
      </c>
      <c r="H24" s="29" t="n">
        <v>6.896118</v>
      </c>
      <c r="I24" s="29" t="n">
        <v>11.06088</v>
      </c>
      <c r="J24" s="29" t="n">
        <v>14.07782</v>
      </c>
      <c r="K24" s="29" t="n">
        <v>13.93958</v>
      </c>
      <c r="L24" s="29" t="n">
        <v>8.854614</v>
      </c>
      <c r="M24" s="29" t="n">
        <v>6.358704</v>
      </c>
      <c r="N24" s="29" t="n">
        <v>-1.220276</v>
      </c>
      <c r="O24" s="29" t="n">
        <v>-5.828125</v>
      </c>
    </row>
    <row r="25">
      <c r="A25" s="14" t="n"/>
      <c r="C25" s="10" t="n">
        <v>1986</v>
      </c>
      <c r="D25" s="29" t="n">
        <v>-7.034302</v>
      </c>
      <c r="E25" s="29" t="n">
        <v>-7.874237</v>
      </c>
      <c r="F25" s="29" t="n">
        <v>-0.06851196</v>
      </c>
      <c r="G25" s="29" t="n">
        <v>1.416016</v>
      </c>
      <c r="H25" s="29" t="n">
        <v>8.248016</v>
      </c>
      <c r="I25" s="29" t="n">
        <v>13.09433</v>
      </c>
      <c r="J25" s="29" t="n">
        <v>14.00497</v>
      </c>
      <c r="K25" s="29" t="n">
        <v>12.01218</v>
      </c>
      <c r="L25" s="29" t="n">
        <v>7.143036</v>
      </c>
      <c r="M25" s="29" t="n">
        <v>5.595093</v>
      </c>
      <c r="N25" s="29" t="n">
        <v>2.840454</v>
      </c>
      <c r="O25" s="29" t="n">
        <v>-5.170166</v>
      </c>
    </row>
    <row r="26">
      <c r="A26" s="14" t="n"/>
      <c r="C26" s="10" t="n">
        <v>1987</v>
      </c>
      <c r="D26" s="29" t="n">
        <v>-11.32181</v>
      </c>
      <c r="E26" s="29" t="n">
        <v>-5.616425</v>
      </c>
      <c r="F26" s="29" t="n">
        <v>-4.747772</v>
      </c>
      <c r="G26" s="29" t="n">
        <v>2.126068</v>
      </c>
      <c r="H26" s="29" t="n">
        <v>6.37146</v>
      </c>
      <c r="I26" s="29" t="n">
        <v>10.25262</v>
      </c>
      <c r="J26" s="29" t="n">
        <v>12.90976</v>
      </c>
      <c r="K26" s="29" t="n">
        <v>11.27313</v>
      </c>
      <c r="L26" s="29" t="n">
        <v>8.920349</v>
      </c>
      <c r="M26" s="29" t="n">
        <v>7.109406</v>
      </c>
      <c r="N26" s="29" t="n">
        <v>0.3175659</v>
      </c>
      <c r="O26" s="29" t="n">
        <v>-3.23587</v>
      </c>
    </row>
    <row r="27">
      <c r="A27" s="14" t="n"/>
      <c r="C27" s="10" t="n">
        <v>1988</v>
      </c>
      <c r="D27" s="29" t="n">
        <v>-2.580383</v>
      </c>
      <c r="E27" s="29" t="n">
        <v>-3.325439</v>
      </c>
      <c r="F27" s="29" t="n">
        <v>-2.244415</v>
      </c>
      <c r="G27" s="29" t="n">
        <v>1.003693</v>
      </c>
      <c r="H27" s="29" t="n">
        <v>8.277678999999999</v>
      </c>
      <c r="I27" s="29" t="n">
        <v>13.04745</v>
      </c>
      <c r="J27" s="29" t="n">
        <v>15.84058</v>
      </c>
      <c r="K27" s="29" t="n">
        <v>13.30347</v>
      </c>
      <c r="L27" s="29" t="n">
        <v>10.6687</v>
      </c>
      <c r="M27" s="29" t="n">
        <v>4.799347</v>
      </c>
      <c r="N27" s="29" t="n">
        <v>-1.641998</v>
      </c>
      <c r="O27" s="29" t="n">
        <v>-3.557861</v>
      </c>
    </row>
    <row r="28">
      <c r="A28" s="14" t="n"/>
      <c r="C28" s="10" t="n">
        <v>1989</v>
      </c>
      <c r="D28" s="29" t="n">
        <v>0.2635803</v>
      </c>
      <c r="E28" s="29" t="n">
        <v>0.0279541</v>
      </c>
      <c r="F28" s="29" t="n">
        <v>1.457184</v>
      </c>
      <c r="G28" s="29" t="n">
        <v>4.064789</v>
      </c>
      <c r="H28" s="29" t="n">
        <v>8.273743</v>
      </c>
      <c r="I28" s="29" t="n">
        <v>12.62973</v>
      </c>
      <c r="J28" s="29" t="n">
        <v>14.15714</v>
      </c>
      <c r="K28" s="29" t="n">
        <v>13.31229</v>
      </c>
      <c r="L28" s="29" t="n">
        <v>10.39868</v>
      </c>
      <c r="M28" s="29" t="n">
        <v>5.304718</v>
      </c>
      <c r="N28" s="29" t="n">
        <v>1.594879</v>
      </c>
      <c r="O28" s="29" t="n">
        <v>-3.143982</v>
      </c>
    </row>
    <row r="29">
      <c r="A29" s="14" t="n"/>
      <c r="C29" s="10" t="n">
        <v>1990</v>
      </c>
      <c r="D29" s="29" t="n">
        <v>-2.665955</v>
      </c>
      <c r="E29" s="29" t="n">
        <v>1.902588</v>
      </c>
      <c r="F29" s="29" t="n">
        <v>1.241638</v>
      </c>
      <c r="G29" s="29" t="n">
        <v>4.237762</v>
      </c>
      <c r="H29" s="29" t="n">
        <v>7.764771</v>
      </c>
      <c r="I29" s="29" t="n">
        <v>12.09982</v>
      </c>
      <c r="J29" s="29" t="n">
        <v>13.92462</v>
      </c>
      <c r="K29" s="29" t="n">
        <v>14.11292</v>
      </c>
      <c r="L29" s="29" t="n">
        <v>9.092193999999999</v>
      </c>
      <c r="M29" s="29" t="n">
        <v>5.770905</v>
      </c>
      <c r="N29" s="29" t="n">
        <v>0.0368042</v>
      </c>
      <c r="O29" s="29" t="n">
        <v>-0.2980652</v>
      </c>
    </row>
    <row r="30">
      <c r="A30" s="14" t="n"/>
      <c r="C30" s="10" t="n">
        <v>1991</v>
      </c>
      <c r="D30" s="29" t="n">
        <v>-2.105225</v>
      </c>
      <c r="E30" s="29" t="n">
        <v>-4.981903</v>
      </c>
      <c r="F30" s="29" t="n">
        <v>-0.4881592</v>
      </c>
      <c r="G30" s="29" t="n">
        <v>3.17746</v>
      </c>
      <c r="H30" s="29" t="n">
        <v>6.167877</v>
      </c>
      <c r="I30" s="29" t="n">
        <v>10.54813</v>
      </c>
      <c r="J30" s="29" t="n">
        <v>14.79739</v>
      </c>
      <c r="K30" s="29" t="n">
        <v>14.55051</v>
      </c>
      <c r="L30" s="29" t="n">
        <v>9.183745999999999</v>
      </c>
      <c r="M30" s="29" t="n">
        <v>5.626892</v>
      </c>
      <c r="N30" s="29" t="n">
        <v>2.049103</v>
      </c>
      <c r="O30" s="29" t="n">
        <v>-0.3559265</v>
      </c>
    </row>
    <row r="31">
      <c r="A31" s="14" t="n"/>
      <c r="C31" s="10" t="n">
        <v>1992</v>
      </c>
      <c r="D31" s="29" t="n">
        <v>-0.7847595000000001</v>
      </c>
      <c r="E31" s="29" t="n">
        <v>-0.8612976</v>
      </c>
      <c r="F31" s="29" t="n">
        <v>1.002747</v>
      </c>
      <c r="G31" s="29" t="n">
        <v>1.341522</v>
      </c>
      <c r="H31" s="29" t="n">
        <v>8.773285</v>
      </c>
      <c r="I31" s="29" t="n">
        <v>13.55414</v>
      </c>
      <c r="J31" s="29" t="n">
        <v>13.76053</v>
      </c>
      <c r="K31" s="29" t="n">
        <v>13.03058</v>
      </c>
      <c r="L31" s="29" t="n">
        <v>10.64905</v>
      </c>
      <c r="M31" s="29" t="n">
        <v>1.170105</v>
      </c>
      <c r="N31" s="29" t="n">
        <v>-0.6035156</v>
      </c>
      <c r="O31" s="29" t="n">
        <v>0.1582642</v>
      </c>
    </row>
    <row r="32">
      <c r="A32" s="14" t="n"/>
      <c r="C32" s="10" t="n">
        <v>1993</v>
      </c>
      <c r="D32" s="29" t="n">
        <v>-1.644073</v>
      </c>
      <c r="E32" s="29" t="n">
        <v>-1.871796</v>
      </c>
      <c r="F32" s="29" t="n">
        <v>-0.5563354</v>
      </c>
      <c r="G32" s="29" t="n">
        <v>2.890167</v>
      </c>
      <c r="H32" s="29" t="n">
        <v>8.973174999999999</v>
      </c>
      <c r="I32" s="29" t="n">
        <v>9.853638</v>
      </c>
      <c r="J32" s="29" t="n">
        <v>13.70206</v>
      </c>
      <c r="K32" s="29" t="n">
        <v>12.38086</v>
      </c>
      <c r="L32" s="29" t="n">
        <v>7.364014</v>
      </c>
      <c r="M32" s="29" t="n">
        <v>3.527649</v>
      </c>
      <c r="N32" s="29" t="n">
        <v>-1.126221</v>
      </c>
      <c r="O32" s="29" t="n">
        <v>-2.703705</v>
      </c>
    </row>
    <row r="33">
      <c r="A33" s="14" t="n"/>
      <c r="C33" s="10" t="n">
        <v>1994</v>
      </c>
      <c r="D33" s="29" t="n">
        <v>-4.462708</v>
      </c>
      <c r="E33" s="29" t="n">
        <v>-7.689301</v>
      </c>
      <c r="F33" s="29" t="n">
        <v>-1.422607</v>
      </c>
      <c r="G33" s="29" t="n">
        <v>4.006866</v>
      </c>
      <c r="H33" s="29" t="n">
        <v>6.553528</v>
      </c>
      <c r="I33" s="29" t="n">
        <v>10.55435</v>
      </c>
      <c r="J33" s="29" t="n">
        <v>15.98395</v>
      </c>
      <c r="K33" s="29" t="n">
        <v>14.13516</v>
      </c>
      <c r="L33" s="29" t="n">
        <v>9.731719999999999</v>
      </c>
      <c r="M33" s="29" t="n">
        <v>4.24884</v>
      </c>
      <c r="N33" s="29" t="n">
        <v>0.6912842</v>
      </c>
      <c r="O33" s="29" t="n">
        <v>-0.1107178</v>
      </c>
    </row>
    <row r="34">
      <c r="A34" s="14" t="n"/>
      <c r="C34" s="10" t="n">
        <v>1995</v>
      </c>
      <c r="D34" s="29" t="n">
        <v>-2.692383</v>
      </c>
      <c r="E34" s="29" t="n">
        <v>-0.9615173</v>
      </c>
      <c r="F34" s="29" t="n">
        <v>0.3181763</v>
      </c>
      <c r="G34" s="29" t="n">
        <v>2.300781</v>
      </c>
      <c r="H34" s="29" t="n">
        <v>6.734802</v>
      </c>
      <c r="I34" s="29" t="n">
        <v>12.52866</v>
      </c>
      <c r="J34" s="29" t="n">
        <v>13.59406</v>
      </c>
      <c r="K34" s="29" t="n">
        <v>13.7616</v>
      </c>
      <c r="L34" s="29" t="n">
        <v>9.808258</v>
      </c>
      <c r="M34" s="29" t="n">
        <v>6.636017</v>
      </c>
      <c r="N34" s="29" t="n">
        <v>-1.121063</v>
      </c>
      <c r="O34" s="29" t="n">
        <v>-5.533356</v>
      </c>
    </row>
    <row r="35">
      <c r="A35" s="14" t="n"/>
      <c r="C35" s="10" t="n">
        <v>1996</v>
      </c>
      <c r="D35" s="29" t="n">
        <v>-3.775665</v>
      </c>
      <c r="E35" s="29" t="n">
        <v>-7.169952</v>
      </c>
      <c r="F35" s="29" t="n">
        <v>-2.172913</v>
      </c>
      <c r="G35" s="29" t="n">
        <v>2.402893</v>
      </c>
      <c r="H35" s="29" t="n">
        <v>6.063354</v>
      </c>
      <c r="I35" s="29" t="n">
        <v>10.99353</v>
      </c>
      <c r="J35" s="29" t="n">
        <v>12.89313</v>
      </c>
      <c r="K35" s="29" t="n">
        <v>15.45029</v>
      </c>
      <c r="L35" s="29" t="n">
        <v>8.853942999999999</v>
      </c>
      <c r="M35" s="29" t="n">
        <v>6.274841</v>
      </c>
      <c r="N35" s="29" t="n">
        <v>0.7842407</v>
      </c>
      <c r="O35" s="29" t="n">
        <v>-4.25</v>
      </c>
    </row>
    <row r="36">
      <c r="A36" s="14" t="n"/>
      <c r="C36" s="10" t="n">
        <v>1997</v>
      </c>
      <c r="D36" s="29" t="n">
        <v>-3.567413</v>
      </c>
      <c r="E36" s="29" t="n">
        <v>-2.550781</v>
      </c>
      <c r="F36" s="29" t="n">
        <v>-0.539093</v>
      </c>
      <c r="G36" s="29" t="n">
        <v>0.8945618</v>
      </c>
      <c r="H36" s="29" t="n">
        <v>6.139893</v>
      </c>
      <c r="I36" s="29" t="n">
        <v>12.4873</v>
      </c>
      <c r="J36" s="29" t="n">
        <v>15.75897</v>
      </c>
      <c r="K36" s="29" t="n">
        <v>16.19528</v>
      </c>
      <c r="L36" s="29" t="n">
        <v>10.4212</v>
      </c>
      <c r="M36" s="29" t="n">
        <v>3.83078</v>
      </c>
      <c r="N36" s="29" t="n">
        <v>0.2799988</v>
      </c>
      <c r="O36" s="29" t="n">
        <v>-2.099213</v>
      </c>
    </row>
    <row r="37">
      <c r="A37" s="14" t="n"/>
      <c r="C37" s="10" t="n">
        <v>1998</v>
      </c>
      <c r="D37" s="29" t="n">
        <v>-2.025055</v>
      </c>
      <c r="E37" s="29" t="n">
        <v>-3.33551</v>
      </c>
      <c r="F37" s="29" t="n">
        <v>-2.231964</v>
      </c>
      <c r="G37" s="29" t="n">
        <v>1.991852</v>
      </c>
      <c r="H37" s="29" t="n">
        <v>7.392395</v>
      </c>
      <c r="I37" s="29" t="n">
        <v>11.34152</v>
      </c>
      <c r="J37" s="29" t="n">
        <v>14.04382</v>
      </c>
      <c r="K37" s="29" t="n">
        <v>12.56915</v>
      </c>
      <c r="L37" s="29" t="n">
        <v>10.34915</v>
      </c>
      <c r="M37" s="29" t="n">
        <v>5.207581</v>
      </c>
      <c r="N37" s="29" t="n">
        <v>-2.221771</v>
      </c>
      <c r="O37" s="29" t="n">
        <v>-2.270508</v>
      </c>
    </row>
    <row r="38">
      <c r="A38" s="14" t="n"/>
      <c r="C38" s="10" t="n">
        <v>1999</v>
      </c>
      <c r="D38" s="29" t="n">
        <v>-4.445801</v>
      </c>
      <c r="E38" s="29" t="n">
        <v>-4.46167</v>
      </c>
      <c r="F38" s="29" t="n">
        <v>-0.6173706</v>
      </c>
      <c r="G38" s="29" t="n">
        <v>4.140076</v>
      </c>
      <c r="H38" s="29" t="n">
        <v>6.354187</v>
      </c>
      <c r="I38" s="29" t="n">
        <v>13.3381</v>
      </c>
      <c r="J38" s="29" t="n">
        <v>15.06482</v>
      </c>
      <c r="K38" s="29" t="n">
        <v>13.00208</v>
      </c>
      <c r="L38" s="29" t="n">
        <v>11.98761</v>
      </c>
      <c r="M38" s="29" t="n">
        <v>6.192841</v>
      </c>
      <c r="N38" s="29" t="n">
        <v>2.683289</v>
      </c>
      <c r="O38" s="29" t="n">
        <v>-2.994263</v>
      </c>
    </row>
    <row r="39">
      <c r="A39" s="14" t="n"/>
      <c r="C39" s="10" t="n">
        <v>2000</v>
      </c>
      <c r="D39" s="29" t="n">
        <v>-2.116608</v>
      </c>
      <c r="E39" s="29" t="n">
        <v>-1.711548</v>
      </c>
      <c r="F39" s="29" t="n">
        <v>-0.7030334</v>
      </c>
      <c r="G39" s="29" t="n">
        <v>3.885284</v>
      </c>
      <c r="H39" s="29" t="n">
        <v>8.432708999999999</v>
      </c>
      <c r="I39" s="29" t="n">
        <v>11.19427</v>
      </c>
      <c r="J39" s="29" t="n">
        <v>13.80139</v>
      </c>
      <c r="K39" s="29" t="n">
        <v>13.18665</v>
      </c>
      <c r="L39" s="29" t="n">
        <v>9.859954999999999</v>
      </c>
      <c r="M39" s="29" t="n">
        <v>8.135254</v>
      </c>
      <c r="N39" s="29" t="n">
        <v>3.8125</v>
      </c>
      <c r="O39" s="29" t="n">
        <v>-0.5715637</v>
      </c>
    </row>
    <row r="40">
      <c r="A40" s="14" t="n"/>
      <c r="C40" s="10" t="n">
        <v>2001</v>
      </c>
      <c r="D40" s="29" t="n">
        <v>-1.395325</v>
      </c>
      <c r="E40" s="29" t="n">
        <v>-5.648285</v>
      </c>
      <c r="F40" s="29" t="n">
        <v>-3.491913</v>
      </c>
      <c r="G40" s="29" t="n">
        <v>3.077118</v>
      </c>
      <c r="H40" s="29" t="n">
        <v>7.208649</v>
      </c>
      <c r="I40" s="29" t="n">
        <v>11.76416</v>
      </c>
      <c r="J40" s="29" t="n">
        <v>15.61072</v>
      </c>
      <c r="K40" s="29" t="n">
        <v>13.86389</v>
      </c>
      <c r="L40" s="29" t="n">
        <v>10.63702</v>
      </c>
      <c r="M40" s="29" t="n">
        <v>6.858154</v>
      </c>
      <c r="N40" s="29" t="n">
        <v>0.6122436999999999</v>
      </c>
      <c r="O40" s="29" t="n">
        <v>-4.237305</v>
      </c>
    </row>
    <row r="41">
      <c r="A41" s="14" t="n"/>
      <c r="C41" s="10" t="n">
        <v>2002</v>
      </c>
      <c r="D41" s="29" t="n">
        <v>-2.863312</v>
      </c>
      <c r="E41" s="29" t="n">
        <v>-1.072296</v>
      </c>
      <c r="F41" s="29" t="n">
        <v>-0.1863708</v>
      </c>
      <c r="G41" s="29" t="n">
        <v>4.45697</v>
      </c>
      <c r="H41" s="29" t="n">
        <v>9.411773999999999</v>
      </c>
      <c r="I41" s="29" t="n">
        <v>13.54681</v>
      </c>
      <c r="J41" s="29" t="n">
        <v>15.85986</v>
      </c>
      <c r="K41" s="29" t="n">
        <v>16.49005</v>
      </c>
      <c r="L41" s="29" t="n">
        <v>10.3183</v>
      </c>
      <c r="M41" s="29" t="n">
        <v>2.574432</v>
      </c>
      <c r="N41" s="29" t="n">
        <v>-1.529541</v>
      </c>
      <c r="O41" s="29" t="n">
        <v>-5.520416</v>
      </c>
    </row>
    <row r="42">
      <c r="A42" s="14" t="n"/>
      <c r="C42" s="10" t="n">
        <v>2003</v>
      </c>
      <c r="D42" s="29" t="n">
        <v>-6.459259</v>
      </c>
      <c r="E42" s="29" t="n">
        <v>-2.986145</v>
      </c>
      <c r="F42" s="29" t="n">
        <v>0.2860413</v>
      </c>
      <c r="G42" s="29" t="n">
        <v>2.5112</v>
      </c>
      <c r="H42" s="29" t="n">
        <v>8.023467999999999</v>
      </c>
      <c r="I42" s="29" t="n">
        <v>11.61975</v>
      </c>
      <c r="J42" s="29" t="n">
        <v>16.97998</v>
      </c>
      <c r="K42" s="29" t="n">
        <v>14.3757</v>
      </c>
      <c r="L42" s="29" t="n">
        <v>10.49582</v>
      </c>
      <c r="M42" s="29" t="n">
        <v>3.981171</v>
      </c>
      <c r="N42" s="29" t="n">
        <v>2.356598</v>
      </c>
      <c r="O42" s="29" t="n">
        <v>-1.022339</v>
      </c>
    </row>
    <row r="43">
      <c r="A43" s="14" t="n"/>
      <c r="C43" s="10" t="n">
        <v>2004</v>
      </c>
      <c r="D43" s="29" t="n">
        <v>-4.810699</v>
      </c>
      <c r="E43" s="29" t="n">
        <v>-3.277313</v>
      </c>
      <c r="F43" s="29" t="n">
        <v>-0.08581543</v>
      </c>
      <c r="G43" s="29" t="n">
        <v>4.177917</v>
      </c>
      <c r="H43" s="29" t="n">
        <v>7.750824</v>
      </c>
      <c r="I43" s="29" t="n">
        <v>10.99115</v>
      </c>
      <c r="J43" s="29" t="n">
        <v>14.42737</v>
      </c>
      <c r="K43" s="29" t="n">
        <v>14.77365</v>
      </c>
      <c r="L43" s="29" t="n">
        <v>10.78165</v>
      </c>
      <c r="M43" s="29" t="n">
        <v>5.694611</v>
      </c>
      <c r="N43" s="29" t="n">
        <v>0.3838806</v>
      </c>
      <c r="O43" s="29" t="n">
        <v>0.07678223000000001</v>
      </c>
    </row>
    <row r="44">
      <c r="A44" s="14" t="n"/>
      <c r="C44" s="10" t="n">
        <v>2005</v>
      </c>
      <c r="D44" s="29" t="n">
        <v>-0.6243590999999999</v>
      </c>
      <c r="E44" s="29" t="n">
        <v>-3.533783</v>
      </c>
      <c r="F44" s="29" t="n">
        <v>-3.188599</v>
      </c>
      <c r="G44" s="29" t="n">
        <v>3.768494</v>
      </c>
      <c r="H44" s="29" t="n">
        <v>7.089325</v>
      </c>
      <c r="I44" s="29" t="n">
        <v>11.6814</v>
      </c>
      <c r="J44" s="29" t="n">
        <v>15.67905</v>
      </c>
      <c r="K44" s="29" t="n">
        <v>13.95688</v>
      </c>
      <c r="L44" s="29" t="n">
        <v>10.80026</v>
      </c>
      <c r="M44" s="29" t="n">
        <v>6.891602</v>
      </c>
      <c r="N44" s="29" t="n">
        <v>3.173645</v>
      </c>
      <c r="O44" s="29" t="n">
        <v>-1.985229</v>
      </c>
    </row>
    <row r="45">
      <c r="A45" s="14" t="n"/>
      <c r="C45" s="10" t="n">
        <v>2006</v>
      </c>
      <c r="D45" s="29" t="n">
        <v>-3.055695</v>
      </c>
      <c r="E45" s="29" t="n">
        <v>-4.862579</v>
      </c>
      <c r="F45" s="29" t="n">
        <v>-4.687347</v>
      </c>
      <c r="G45" s="29" t="n">
        <v>3.282074</v>
      </c>
      <c r="H45" s="29" t="n">
        <v>8.158538999999999</v>
      </c>
      <c r="I45" s="29" t="n">
        <v>12.7106</v>
      </c>
      <c r="J45" s="29" t="n">
        <v>15.8002</v>
      </c>
      <c r="K45" s="29" t="n">
        <v>15.62793</v>
      </c>
      <c r="L45" s="29" t="n">
        <v>12.05414</v>
      </c>
      <c r="M45" s="29" t="n">
        <v>6.451355</v>
      </c>
      <c r="N45" s="29" t="n">
        <v>2.491577</v>
      </c>
      <c r="O45" s="29" t="n">
        <v>2.590546</v>
      </c>
    </row>
    <row r="46">
      <c r="A46" s="14" t="n"/>
      <c r="C46" s="10" t="n">
        <v>2007</v>
      </c>
      <c r="D46" s="29" t="n">
        <v>-1.997284</v>
      </c>
      <c r="E46" s="29" t="n">
        <v>-6.350067</v>
      </c>
      <c r="F46" s="29" t="n">
        <v>2.27829</v>
      </c>
      <c r="G46" s="29" t="n">
        <v>3.901947</v>
      </c>
      <c r="H46" s="29" t="n">
        <v>8.059631</v>
      </c>
      <c r="I46" s="29" t="n">
        <v>12.8172</v>
      </c>
      <c r="J46" s="29" t="n">
        <v>14.38544</v>
      </c>
      <c r="K46" s="29" t="n">
        <v>14.44632</v>
      </c>
      <c r="L46" s="29" t="n">
        <v>9.479767000000001</v>
      </c>
      <c r="M46" s="29" t="n">
        <v>6.487946</v>
      </c>
      <c r="N46" s="29" t="n">
        <v>0.6593018</v>
      </c>
      <c r="O46" s="29" t="n">
        <v>0.8924561</v>
      </c>
    </row>
    <row r="47">
      <c r="A47" s="14" t="n"/>
      <c r="C47" s="10" t="n">
        <v>2008</v>
      </c>
      <c r="D47" s="29" t="n">
        <v>-0.6748657</v>
      </c>
      <c r="E47" s="29" t="n">
        <v>-0.05361938</v>
      </c>
      <c r="F47" s="29" t="n">
        <v>-0.9541321</v>
      </c>
      <c r="G47" s="29" t="n">
        <v>3.59668</v>
      </c>
      <c r="H47" s="29" t="n">
        <v>7.822449</v>
      </c>
      <c r="I47" s="29" t="n">
        <v>11.97559</v>
      </c>
      <c r="J47" s="29" t="n">
        <v>14.70724</v>
      </c>
      <c r="K47" s="29" t="n">
        <v>13.29431</v>
      </c>
      <c r="L47" s="29" t="n">
        <v>9.587891000000001</v>
      </c>
      <c r="M47" s="29" t="n">
        <v>6.46579</v>
      </c>
      <c r="N47" s="29" t="n">
        <v>1.557343</v>
      </c>
      <c r="O47" s="29" t="n">
        <v>-0.1577148</v>
      </c>
    </row>
    <row r="48">
      <c r="A48" s="14" t="n"/>
      <c r="C48" s="10" t="n">
        <v>2009</v>
      </c>
      <c r="D48" s="29" t="n">
        <v>-2.688232</v>
      </c>
      <c r="E48" s="29" t="n">
        <v>-4.562531</v>
      </c>
      <c r="F48" s="29" t="n">
        <v>-0.7096863</v>
      </c>
      <c r="G48" s="29" t="n">
        <v>3.892883</v>
      </c>
      <c r="H48" s="29" t="n">
        <v>8.787201</v>
      </c>
      <c r="I48" s="29" t="n">
        <v>11.44531</v>
      </c>
      <c r="J48" s="29" t="n">
        <v>14.58173</v>
      </c>
      <c r="K48" s="29" t="n">
        <v>14.46756</v>
      </c>
      <c r="L48" s="29" t="n">
        <v>11.2359</v>
      </c>
      <c r="M48" s="29" t="n">
        <v>3.805969</v>
      </c>
      <c r="N48" s="29" t="n">
        <v>3.017731</v>
      </c>
      <c r="O48" s="29" t="n">
        <v>-3.528442</v>
      </c>
    </row>
    <row r="49">
      <c r="A49" s="14" t="n"/>
      <c r="C49" s="10" t="n">
        <v>2010</v>
      </c>
      <c r="D49" s="29" t="n">
        <v>-7.702087</v>
      </c>
      <c r="E49" s="29" t="n">
        <v>-7.046692</v>
      </c>
      <c r="F49" s="29" t="n">
        <v>-2.22757</v>
      </c>
      <c r="G49" s="29" t="n">
        <v>3.438873</v>
      </c>
      <c r="H49" s="29" t="n">
        <v>8.123901</v>
      </c>
      <c r="I49" s="29" t="n">
        <v>11.26465</v>
      </c>
      <c r="J49" s="29" t="n">
        <v>16.49359</v>
      </c>
      <c r="K49" s="29" t="n">
        <v>14.2731</v>
      </c>
      <c r="L49" s="29" t="n">
        <v>10.1329</v>
      </c>
      <c r="M49" s="29" t="n">
        <v>5.130249</v>
      </c>
      <c r="N49" s="29" t="n">
        <v>-1.595398</v>
      </c>
      <c r="O49" s="29" t="n">
        <v>-6.931946</v>
      </c>
    </row>
    <row r="50">
      <c r="A50" s="14" t="n"/>
      <c r="C50" s="10" t="n">
        <v>2011</v>
      </c>
      <c r="D50" s="29" t="n">
        <v>-3.838287</v>
      </c>
      <c r="E50" s="29" t="n">
        <v>-7.067047</v>
      </c>
      <c r="F50" s="29" t="n">
        <v>-1.138306</v>
      </c>
      <c r="G50" s="29" t="n">
        <v>4.993225</v>
      </c>
      <c r="H50" s="29" t="n">
        <v>8.159271</v>
      </c>
      <c r="I50" s="29" t="n">
        <v>13.32892</v>
      </c>
      <c r="J50" s="29" t="n">
        <v>15.72025</v>
      </c>
      <c r="K50" s="29" t="n">
        <v>14.14389</v>
      </c>
      <c r="L50" s="29" t="n">
        <v>11.53653</v>
      </c>
      <c r="M50" s="29" t="n">
        <v>6.831787</v>
      </c>
      <c r="N50" s="29" t="n">
        <v>4.093536</v>
      </c>
      <c r="O50" s="29" t="n">
        <v>1.005859</v>
      </c>
    </row>
    <row r="51">
      <c r="A51" s="14" t="n"/>
      <c r="C51" s="10" t="n">
        <v>2012</v>
      </c>
      <c r="D51" s="29" t="n">
        <v>-3.271271</v>
      </c>
      <c r="E51" s="29" t="n">
        <v>-5.353851</v>
      </c>
      <c r="F51" s="29" t="n">
        <v>0.9520874</v>
      </c>
      <c r="G51" s="29" t="n">
        <v>2.350861</v>
      </c>
      <c r="H51" s="29" t="n">
        <v>7.785828</v>
      </c>
      <c r="I51" s="29" t="n">
        <v>10.86111</v>
      </c>
      <c r="J51" s="29" t="n">
        <v>14.29004</v>
      </c>
      <c r="K51" s="29" t="n">
        <v>13.52432</v>
      </c>
      <c r="L51" s="29" t="n">
        <v>10.03146</v>
      </c>
      <c r="M51" s="29" t="n">
        <v>5.027435</v>
      </c>
      <c r="N51" s="29" t="n">
        <v>2.661865</v>
      </c>
      <c r="O51" s="29" t="n">
        <v>-5.093079</v>
      </c>
    </row>
    <row r="52">
      <c r="A52" s="14" t="n"/>
      <c r="C52" s="10" t="n">
        <v>2013</v>
      </c>
      <c r="D52" s="29" t="n">
        <v>-3.988434</v>
      </c>
      <c r="E52" s="29" t="n">
        <v>-2.727966</v>
      </c>
      <c r="F52" s="29" t="n">
        <v>-4.990509</v>
      </c>
      <c r="G52" s="29" t="n">
        <v>2.218018</v>
      </c>
      <c r="H52" s="29" t="n">
        <v>9.886353</v>
      </c>
      <c r="I52" s="29" t="n">
        <v>13.48715</v>
      </c>
      <c r="J52" s="29" t="n">
        <v>14.93307</v>
      </c>
      <c r="K52" s="29" t="n">
        <v>14.63403</v>
      </c>
      <c r="L52" s="29" t="n">
        <v>10.97424</v>
      </c>
      <c r="M52" s="29" t="n">
        <v>6.155609</v>
      </c>
      <c r="N52" s="29" t="n">
        <v>2.219177</v>
      </c>
      <c r="O52" s="29" t="n">
        <v>0.9212646</v>
      </c>
    </row>
    <row r="53">
      <c r="A53" s="14" t="n"/>
      <c r="C53" s="10" t="n">
        <v>2014</v>
      </c>
      <c r="D53" s="29" t="n">
        <v>-4.621521</v>
      </c>
      <c r="E53" s="29" t="n">
        <v>0.6325378</v>
      </c>
      <c r="F53" s="29" t="n">
        <v>1.689728</v>
      </c>
      <c r="G53" s="29" t="n">
        <v>4.187317</v>
      </c>
      <c r="H53" s="29" t="n">
        <v>8.175629000000001</v>
      </c>
      <c r="I53" s="29" t="n">
        <v>11.47247</v>
      </c>
      <c r="J53" s="29" t="n">
        <v>17.29089</v>
      </c>
      <c r="K53" s="29" t="n">
        <v>14.69962</v>
      </c>
      <c r="L53" s="29" t="n">
        <v>11.02634</v>
      </c>
      <c r="M53" s="29" t="n">
        <v>6.063202</v>
      </c>
      <c r="N53" s="29" t="n">
        <v>2.246735</v>
      </c>
      <c r="O53" s="29" t="n">
        <v>-0.9599304</v>
      </c>
    </row>
    <row r="54">
      <c r="A54" s="14" t="n"/>
      <c r="C54" s="10" t="n">
        <v>2015</v>
      </c>
      <c r="D54" s="29" t="n">
        <v>-2.148804</v>
      </c>
      <c r="E54" s="29" t="n">
        <v>-0.5879211</v>
      </c>
      <c r="F54" s="29" t="n">
        <v>1.696228</v>
      </c>
      <c r="G54" s="29" t="n">
        <v>3.865997</v>
      </c>
      <c r="H54" s="29" t="n">
        <v>7.384705</v>
      </c>
      <c r="I54" s="29" t="n">
        <v>10.79523</v>
      </c>
      <c r="J54" s="29" t="n">
        <v>13.3851</v>
      </c>
      <c r="K54" s="29" t="n">
        <v>14.9693</v>
      </c>
      <c r="L54" s="29" t="n">
        <v>11.50476</v>
      </c>
      <c r="M54" s="29" t="n">
        <v>5.951813</v>
      </c>
      <c r="N54" s="29" t="n">
        <v>3.298523</v>
      </c>
      <c r="O54" s="29" t="n">
        <v>1.347107</v>
      </c>
    </row>
    <row r="55">
      <c r="A55" s="14" t="n"/>
      <c r="C55" s="11" t="n">
        <v>2016</v>
      </c>
      <c r="D55" s="29" t="n">
        <v>-6.443054</v>
      </c>
      <c r="E55" s="29" t="n">
        <v>-1.006744</v>
      </c>
      <c r="F55" s="29" t="n">
        <v>0.7037964</v>
      </c>
      <c r="G55" s="29" t="n">
        <v>3.690765</v>
      </c>
      <c r="H55" s="29" t="n">
        <v>9.743499999999999</v>
      </c>
      <c r="I55" s="29" t="n">
        <v>12.55954</v>
      </c>
      <c r="J55" s="29" t="n">
        <v>15.2995</v>
      </c>
      <c r="K55" s="29" t="n">
        <v>13.664</v>
      </c>
      <c r="L55" s="29" t="n">
        <v>11.93872</v>
      </c>
      <c r="M55" s="29" t="n">
        <v>5.484192</v>
      </c>
      <c r="N55" s="29" t="n">
        <v>0.4651184</v>
      </c>
      <c r="O55" s="29" t="n">
        <v>0.5265503</v>
      </c>
    </row>
    <row r="56">
      <c r="A56" s="14" t="n"/>
      <c r="C56" s="11" t="n">
        <v>2017</v>
      </c>
      <c r="D56" s="29" t="n">
        <v>-1.760834</v>
      </c>
      <c r="E56" s="29" t="n">
        <v>-2.122803</v>
      </c>
      <c r="F56" s="29" t="n">
        <v>0.3808594</v>
      </c>
      <c r="G56" s="29" t="n">
        <v>2.095917</v>
      </c>
      <c r="H56" s="29" t="n">
        <v>6.910095</v>
      </c>
      <c r="I56" s="29" t="n">
        <v>11.50223</v>
      </c>
      <c r="J56" s="29" t="n">
        <v>13.91403</v>
      </c>
      <c r="K56" s="29" t="n">
        <v>13.69809</v>
      </c>
      <c r="L56" s="29" t="n">
        <v>10.95206</v>
      </c>
      <c r="M56" s="29" t="n">
        <v>6.121002</v>
      </c>
      <c r="N56" s="29" t="n">
        <v>1.720825</v>
      </c>
      <c r="O56" s="29" t="n">
        <v>-0.5113525</v>
      </c>
    </row>
    <row r="57">
      <c r="A57" s="14" t="n"/>
      <c r="C57" s="11" t="n">
        <v>2018</v>
      </c>
      <c r="D57" s="29" t="n">
        <v>-2.464233</v>
      </c>
      <c r="E57" s="29" t="n">
        <v>-5.362427</v>
      </c>
      <c r="F57" s="29" t="n">
        <v>-3.790588</v>
      </c>
      <c r="G57" s="29" t="n">
        <v>3.698425</v>
      </c>
      <c r="H57" s="29" t="n">
        <v>11.11365</v>
      </c>
      <c r="I57" s="29" t="n">
        <v>12.34549</v>
      </c>
      <c r="J57" s="29" t="n">
        <v>17.49188</v>
      </c>
      <c r="K57" s="29" t="n">
        <v>15.06403</v>
      </c>
      <c r="L57" s="29" t="n">
        <v>11.3382</v>
      </c>
      <c r="M57" s="29" t="n">
        <v>6.015747</v>
      </c>
      <c r="N57" s="29" t="n">
        <v>3.24707</v>
      </c>
      <c r="O57" s="29" t="n">
        <v>-0.8778076</v>
      </c>
    </row>
    <row r="58">
      <c r="A58" s="14" t="n"/>
      <c r="C58" s="11" t="n">
        <v>2019</v>
      </c>
      <c r="D58" s="29" t="n">
        <v>-4.145264</v>
      </c>
      <c r="E58" s="29" t="n">
        <v>-1.049042</v>
      </c>
      <c r="F58" s="29" t="n">
        <v>-0.1861267</v>
      </c>
      <c r="G58" s="29" t="n">
        <v>4.852203</v>
      </c>
      <c r="H58" s="29" t="n">
        <v>7.498138</v>
      </c>
      <c r="I58" s="29" t="n">
        <v>13.25812</v>
      </c>
      <c r="J58" s="29" t="n">
        <v>14.24179</v>
      </c>
      <c r="K58" s="29" t="n">
        <v>14.47849</v>
      </c>
      <c r="L58" s="29" t="n">
        <v>10.19934</v>
      </c>
      <c r="M58" s="29" t="n">
        <v>4.88623</v>
      </c>
      <c r="N58" s="29" t="n">
        <v>0.8396606</v>
      </c>
      <c r="O58" s="29" t="n">
        <v>1.010651</v>
      </c>
    </row>
    <row r="59">
      <c r="A59" s="14" t="n"/>
      <c r="C59" s="11" t="n">
        <v>2020</v>
      </c>
      <c r="D59" s="29" t="n">
        <v>1.151886</v>
      </c>
      <c r="E59" s="29" t="n">
        <v>-0.1079712</v>
      </c>
      <c r="F59" s="29" t="n">
        <v>0.7843933</v>
      </c>
      <c r="G59" s="29" t="n">
        <v>3.189026</v>
      </c>
      <c r="H59" s="29" t="n">
        <v>6.665802</v>
      </c>
      <c r="I59" s="29" t="n">
        <v>14.55365</v>
      </c>
      <c r="J59" s="29" t="n">
        <v>13.84637</v>
      </c>
      <c r="K59" s="29" t="n">
        <v>14.65649</v>
      </c>
      <c r="L59" s="29" t="n">
        <v>11.25098</v>
      </c>
      <c r="M59" s="29" t="n">
        <v>7.258087</v>
      </c>
      <c r="N59" s="29" t="n">
        <v>4.337128</v>
      </c>
      <c r="O59" s="29" t="n">
        <v>0.9997559</v>
      </c>
    </row>
    <row r="60">
      <c r="A60" s="14" t="n"/>
      <c r="C60" s="11" t="n">
        <v>2021</v>
      </c>
      <c r="D60" s="29" t="n">
        <v>-4.170685</v>
      </c>
      <c r="E60" s="29" t="n">
        <v>-4.798584</v>
      </c>
      <c r="F60" s="29" t="n">
        <v>0.2710571</v>
      </c>
      <c r="G60" s="29" t="n">
        <v>2.923828</v>
      </c>
      <c r="H60" s="29" t="n">
        <v>7.272614</v>
      </c>
      <c r="I60" s="29" t="n">
        <v>14.48227</v>
      </c>
      <c r="J60" s="29" t="n">
        <v>16.91904</v>
      </c>
      <c r="K60" s="29" t="n">
        <v>13.59454</v>
      </c>
      <c r="L60" s="29" t="n">
        <v>9.98053</v>
      </c>
      <c r="M60" s="29" t="n">
        <v>6.826111</v>
      </c>
      <c r="N60" s="29" t="n">
        <v>1.575012</v>
      </c>
      <c r="O60" s="29" t="n">
        <v>-3.477386</v>
      </c>
    </row>
    <row r="61">
      <c r="A61" s="14" t="n"/>
      <c r="C61" s="11" t="n">
        <v>2022</v>
      </c>
      <c r="D61" s="29" t="n">
        <v>-1.840546</v>
      </c>
      <c r="E61" s="29" t="n">
        <v>-1.70993</v>
      </c>
      <c r="F61" s="29" t="n">
        <v>0.7932739</v>
      </c>
      <c r="G61" s="29" t="n">
        <v>2.774658</v>
      </c>
      <c r="H61" s="29" t="n">
        <v>7.780518</v>
      </c>
      <c r="I61" s="29" t="n">
        <v>13.47394</v>
      </c>
      <c r="J61" s="29" t="n">
        <v>15.05469</v>
      </c>
      <c r="K61" s="29" t="n">
        <v>15.51813</v>
      </c>
      <c r="L61" s="29" t="n">
        <v>9.857025</v>
      </c>
      <c r="M61" s="29" t="n">
        <v>7.249298</v>
      </c>
      <c r="N61" s="29" t="n">
        <v>2.808746</v>
      </c>
      <c r="O61" s="29" t="n">
        <v>-2.764984</v>
      </c>
    </row>
    <row r="62">
      <c r="A62" s="14" t="n"/>
      <c r="C62" s="11" t="n">
        <v>2023</v>
      </c>
      <c r="D62" s="29" t="n">
        <v>-0.93573</v>
      </c>
      <c r="E62" s="29" t="n">
        <v>-0.9651489</v>
      </c>
      <c r="F62" s="29" t="n">
        <v>-2.130219</v>
      </c>
      <c r="G62" s="29" t="n">
        <v>3.697052</v>
      </c>
      <c r="H62" s="29" t="n">
        <v>8.381012</v>
      </c>
      <c r="I62" s="29" t="n">
        <v>13.52551</v>
      </c>
      <c r="J62" s="29" t="n">
        <v>14.60358</v>
      </c>
      <c r="K62" s="29" t="n">
        <v>15.19269</v>
      </c>
      <c r="L62" s="29" t="n">
        <v>12.78467</v>
      </c>
      <c r="M62" s="29" t="n">
        <v>4.357269</v>
      </c>
      <c r="N62" s="29" t="n">
        <v>-0.677063</v>
      </c>
      <c r="O62" s="29" t="n">
        <v>-3.266083</v>
      </c>
    </row>
    <row r="63">
      <c r="A63" s="14" t="n"/>
      <c r="C63" s="11" t="n">
        <v>2024</v>
      </c>
      <c r="D63" s="29" t="n">
        <v>-5.067169</v>
      </c>
      <c r="E63" s="29" t="n">
        <v>-2.137665</v>
      </c>
      <c r="F63" s="29" t="n">
        <v>0.9006958</v>
      </c>
      <c r="G63" s="29" t="n">
        <v>2.790619</v>
      </c>
      <c r="H63" s="29" t="n">
        <v>10.45737</v>
      </c>
      <c r="I63" s="29" t="n">
        <v>13.68198</v>
      </c>
      <c r="J63" s="29" t="n">
        <v>15.84418</v>
      </c>
      <c r="K63" s="29" t="n">
        <v>15.71945</v>
      </c>
      <c r="L63" s="29" t="n">
        <v>12.50296</v>
      </c>
      <c r="M63" s="29" t="n">
        <v>6.967133</v>
      </c>
      <c r="N63" s="29" t="n">
        <v>2.587494</v>
      </c>
      <c r="O63" s="29" t="n">
        <v>-0.1215515</v>
      </c>
    </row>
    <row r="64">
      <c r="A64" s="14" t="n"/>
      <c r="C64" s="12" t="n">
        <v>2025</v>
      </c>
      <c r="D64" s="29" t="n">
        <v>-1.488739</v>
      </c>
      <c r="E64" s="29" t="n">
        <v>-1.357422</v>
      </c>
      <c r="F64" s="29" t="n">
        <v>1.576233</v>
      </c>
      <c r="G64" s="29" t="n">
        <v>4.381409</v>
      </c>
      <c r="H64" s="29" t="n">
        <v>7.751556</v>
      </c>
      <c r="I64" s="29" t="n">
        <v>11.96655</v>
      </c>
      <c r="J64" s="29" t="n">
        <v>16.98703</v>
      </c>
      <c r="K64" s="29" t="n">
        <v>14.21835</v>
      </c>
      <c r="L64" s="29" t="n">
        <v>12.65308</v>
      </c>
      <c r="M64" s="29" t="n">
        <v>7.105499</v>
      </c>
      <c r="N64" s="29" t="n">
        <v>2.021027</v>
      </c>
      <c r="O64" s="34" t="n">
        <v>1.203491</v>
      </c>
    </row>
    <row r="65">
      <c r="A65" s="23" t="n"/>
      <c r="C65" s="22" t="n">
        <v>2026</v>
      </c>
      <c r="D65" s="29" t="n">
        <v>-6.496124</v>
      </c>
      <c r="E65" s="29" t="n">
        <v>-6.506256</v>
      </c>
      <c r="F65" s="29" t="n">
        <v>2.930847</v>
      </c>
      <c r="G65" s="29" t="n">
        <v>4.437531</v>
      </c>
      <c r="H65" s="29" t="n">
        <v>8.457788085937523</v>
      </c>
      <c r="I65" s="29" t="n">
        <v>13.40517578125002</v>
      </c>
      <c r="J65" s="29" t="n"/>
      <c r="K65" s="29" t="n"/>
      <c r="L65" s="29" t="n"/>
      <c r="M65" s="29" t="n"/>
      <c r="N65" s="29" t="n"/>
      <c r="O65" s="34" t="n"/>
    </row>
    <row r="66">
      <c r="C66" s="7" t="inlineStr">
        <is>
          <t>50YAvg</t>
        </is>
      </c>
      <c r="D66" s="30">
        <f>AVERAGE(D15:D64)</f>
        <v/>
      </c>
      <c r="E66" s="30">
        <f>AVERAGE(E15:E64)</f>
        <v/>
      </c>
      <c r="F66" s="30">
        <f>AVERAGE(F15:F64)</f>
        <v/>
      </c>
      <c r="G66" s="30">
        <f>AVERAGE(G15:G64)</f>
        <v/>
      </c>
      <c r="H66" s="30">
        <f>AVERAGE(H15:H64)</f>
        <v/>
      </c>
      <c r="I66" s="30">
        <f>AVERAGE(I15:I64)</f>
        <v/>
      </c>
      <c r="J66" s="30">
        <f>AVERAGE(J15:J64)</f>
        <v/>
      </c>
      <c r="K66" s="30">
        <f>AVERAGE(K15:K64)</f>
        <v/>
      </c>
      <c r="L66" s="30">
        <f>AVERAGE(L15:L64)</f>
        <v/>
      </c>
      <c r="M66" s="30">
        <f>AVERAGE(M15:M64)</f>
        <v/>
      </c>
      <c r="N66" s="30">
        <f>AVERAGE(N15:N64)</f>
        <v/>
      </c>
      <c r="O66" s="30">
        <f>AVERAGE(O15:O64)</f>
        <v/>
      </c>
    </row>
    <row r="67">
      <c r="C67" s="8" t="inlineStr">
        <is>
          <t>Min</t>
        </is>
      </c>
      <c r="D67" s="31">
        <f>MIN(D15:D64)</f>
        <v/>
      </c>
      <c r="E67" s="31">
        <f>MIN(E15:E64)</f>
        <v/>
      </c>
      <c r="F67" s="31">
        <f>MIN(F15:F64)</f>
        <v/>
      </c>
      <c r="G67" s="31">
        <f>MIN(G15:G64)</f>
        <v/>
      </c>
      <c r="H67" s="31">
        <f>MIN(H15:H64)</f>
        <v/>
      </c>
      <c r="I67" s="31">
        <f>MIN(I15:I64)</f>
        <v/>
      </c>
      <c r="J67" s="31">
        <f>MIN(J15:J64)</f>
        <v/>
      </c>
      <c r="K67" s="31">
        <f>MIN(K15:K64)</f>
        <v/>
      </c>
      <c r="L67" s="31">
        <f>MIN(L15:L64)</f>
        <v/>
      </c>
      <c r="M67" s="31">
        <f>MIN(M15:M64)</f>
        <v/>
      </c>
      <c r="N67" s="31">
        <f>MIN(N15:N64)</f>
        <v/>
      </c>
      <c r="O67" s="31">
        <f>MIN(O15:O64)</f>
        <v/>
      </c>
    </row>
    <row r="68">
      <c r="C68" s="8" t="inlineStr">
        <is>
          <t>50Y Range</t>
        </is>
      </c>
      <c r="D68" s="31">
        <f>D69-D67</f>
        <v/>
      </c>
      <c r="E68" s="31">
        <f>E69-E67</f>
        <v/>
      </c>
      <c r="F68" s="31">
        <f>F69-F67</f>
        <v/>
      </c>
      <c r="G68" s="31">
        <f>G69-G67</f>
        <v/>
      </c>
      <c r="H68" s="31">
        <f>H69-H67</f>
        <v/>
      </c>
      <c r="I68" s="31">
        <f>I69-I67</f>
        <v/>
      </c>
      <c r="J68" s="31">
        <f>J69-J67</f>
        <v/>
      </c>
      <c r="K68" s="31">
        <f>K69-K67</f>
        <v/>
      </c>
      <c r="L68" s="31">
        <f>L69-L67</f>
        <v/>
      </c>
      <c r="M68" s="31">
        <f>M69-M67</f>
        <v/>
      </c>
      <c r="N68" s="31">
        <f>N69-N67</f>
        <v/>
      </c>
      <c r="O68" s="35">
        <f>O69-O67</f>
        <v/>
      </c>
    </row>
    <row r="69">
      <c r="C69" s="9" t="inlineStr">
        <is>
          <t>Max</t>
        </is>
      </c>
      <c r="D69" s="32">
        <f>MAX(D15:D64)</f>
        <v/>
      </c>
      <c r="E69" s="32">
        <f>MAX(E15:E64)</f>
        <v/>
      </c>
      <c r="F69" s="32">
        <f>MAX(F15:F64)</f>
        <v/>
      </c>
      <c r="G69" s="32">
        <f>MAX(G15:G64)</f>
        <v/>
      </c>
      <c r="H69" s="32">
        <f>MAX(H15:H64)</f>
        <v/>
      </c>
      <c r="I69" s="32">
        <f>MAX(I15:I64)</f>
        <v/>
      </c>
      <c r="J69" s="32">
        <f>MAX(J15:J64)</f>
        <v/>
      </c>
      <c r="K69" s="32">
        <f>MAX(K15:K64)</f>
        <v/>
      </c>
      <c r="L69" s="32">
        <f>MAX(L15:L64)</f>
        <v/>
      </c>
      <c r="M69" s="32">
        <f>MAX(M15:M64)</f>
        <v/>
      </c>
      <c r="N69" s="32">
        <f>MAX(N15:N64)</f>
        <v/>
      </c>
      <c r="O69" s="32">
        <f>MAX(O15:O64)</f>
        <v/>
      </c>
    </row>
    <row r="70">
      <c r="C70" s="28" t="inlineStr">
        <is>
          <t>Vs 50Y</t>
        </is>
      </c>
      <c r="D70" s="36">
        <f>D64-D66</f>
        <v/>
      </c>
      <c r="E70" s="36">
        <f>E64-E66</f>
        <v/>
      </c>
      <c r="F70" s="36">
        <f>F64-F66</f>
        <v/>
      </c>
      <c r="G70" s="36">
        <f>G64-G66</f>
        <v/>
      </c>
      <c r="H70" s="36">
        <f>H64-H66</f>
        <v/>
      </c>
      <c r="I70" s="36">
        <f>I64-I66</f>
        <v/>
      </c>
      <c r="J70" s="36">
        <f>J64-J66</f>
        <v/>
      </c>
      <c r="K70" s="36">
        <f>K64-K66</f>
        <v/>
      </c>
      <c r="L70" s="36">
        <f>L64-L66</f>
        <v/>
      </c>
      <c r="M70" s="36">
        <f>M64-M66</f>
        <v/>
      </c>
      <c r="N70" s="36">
        <f>N64-N66</f>
        <v/>
      </c>
      <c r="O70" s="36">
        <f>O64-O66</f>
        <v/>
      </c>
    </row>
    <row r="72">
      <c r="C72" s="21" t="inlineStr">
        <is>
          <t>Kelvin to Celsius you minus 273.15</t>
        </is>
      </c>
    </row>
    <row r="74">
      <c r="C74" s="4" t="n"/>
    </row>
    <row r="75">
      <c r="C75" s="4" t="n"/>
    </row>
    <row r="76">
      <c r="C76" s="4" t="n"/>
    </row>
    <row r="84">
      <c r="C84" s="4" t="inlineStr">
        <is>
          <t>https://climexp.knmi.nl/selectfield_rea.cgi?id=someone@somewhere</t>
        </is>
      </c>
    </row>
  </sheetData>
  <dataValidations count="1">
    <dataValidation sqref="C8" showDropDown="0" showInputMessage="1" showErrorMessage="1" allowBlank="1" type="list">
      <formula1>#REF!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theme="4"/>
    <outlinePr summaryBelow="1" summaryRight="1"/>
    <pageSetUpPr/>
  </sheetPr>
  <dimension ref="B2:V13"/>
  <sheetViews>
    <sheetView tabSelected="1" zoomScale="85" zoomScaleNormal="85" workbookViewId="0">
      <selection activeCell="AD12" sqref="AD12"/>
    </sheetView>
  </sheetViews>
  <sheetFormatPr baseColWidth="8" defaultColWidth="8.6640625" defaultRowHeight="11.25"/>
  <cols>
    <col width="11.83203125" customWidth="1" style="37" min="3" max="3"/>
  </cols>
  <sheetData>
    <row r="2"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</row>
    <row r="3">
      <c r="C3" s="38" t="n">
        <v>46113</v>
      </c>
      <c r="D3" s="2">
        <f t="array" ref="D3:G3">TRANSPOSE(Wind!C66:C69)</f>
        <v/>
      </c>
      <c r="E3" s="2" t="inlineStr">
        <is>
          <t>Min</t>
        </is>
      </c>
      <c r="F3" s="2" t="inlineStr">
        <is>
          <t>50Y Range</t>
        </is>
      </c>
      <c r="G3" s="2" t="inlineStr">
        <is>
          <t>Max</t>
        </is>
      </c>
      <c r="H3" s="27" t="n"/>
      <c r="I3" s="27" t="n"/>
      <c r="J3" s="27" t="n"/>
      <c r="K3" s="27" t="n"/>
      <c r="L3" s="27" t="n"/>
      <c r="M3" s="27" t="n"/>
      <c r="N3" s="27" t="n"/>
      <c r="O3" s="27" t="n"/>
      <c r="P3" s="27" t="n"/>
      <c r="Q3" s="27" t="n"/>
      <c r="R3" s="27" t="n"/>
      <c r="S3" s="27" t="n"/>
      <c r="T3" s="27" t="n"/>
      <c r="U3" s="27" t="n"/>
      <c r="V3" s="27" t="n"/>
    </row>
    <row r="4" ht="22.5" customHeight="1" s="37">
      <c r="B4" s="25" t="inlineStr">
        <is>
          <t>Wind
(m/s)</t>
        </is>
      </c>
      <c r="C4" s="28">
        <f t="array" ref="C4:G4">TRANSPOSE(Wind!$G$65:$G$69)</f>
        <v/>
      </c>
      <c r="D4" s="28" t="n">
        <v>4.619098879999999</v>
      </c>
      <c r="E4" s="28" t="n">
        <v>4.101037</v>
      </c>
      <c r="F4" s="28" t="n">
        <v>1.330533</v>
      </c>
      <c r="G4" s="28" t="n">
        <v>5.43157</v>
      </c>
      <c r="H4" s="27" t="n"/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7" t="n"/>
      <c r="T4" s="27" t="n"/>
      <c r="U4" s="27" t="n"/>
      <c r="V4" s="27" t="n"/>
    </row>
    <row r="5" ht="22.5" customHeight="1" s="37">
      <c r="B5" s="25" t="inlineStr">
        <is>
          <t>Rain
(mm/d)</t>
        </is>
      </c>
      <c r="C5" s="28">
        <f t="array" ref="C5:G5">TRANSPOSE(Rain!$G$65:$G$69)</f>
        <v/>
      </c>
      <c r="D5" s="28" t="n">
        <v>1.774891266</v>
      </c>
      <c r="E5" s="28" t="n">
        <v>0.7374113</v>
      </c>
      <c r="F5" s="28" t="n">
        <v>1.9338657</v>
      </c>
      <c r="G5" s="28" t="n">
        <v>2.671277</v>
      </c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</row>
    <row r="6" ht="22.5" customHeight="1" s="37">
      <c r="B6" s="25" t="inlineStr">
        <is>
          <t>Temp
(Deg C)</t>
        </is>
      </c>
      <c r="C6" s="28">
        <f t="array" ref="C6:G6">TRANSPOSE(Temp!$G$65:$G$69)</f>
        <v/>
      </c>
      <c r="D6" s="28" t="n">
        <v>2.959398163999999</v>
      </c>
      <c r="E6" s="28" t="n">
        <v>0.7146301</v>
      </c>
      <c r="F6" s="28" t="n">
        <v>4.2785949</v>
      </c>
      <c r="G6" s="28" t="n">
        <v>4.993225</v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</row>
    <row r="7"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</row>
    <row r="8"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</row>
    <row r="9"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</row>
    <row r="10"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</row>
    <row r="11"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</row>
    <row r="12"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</row>
    <row r="13">
      <c r="B13" s="25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theme="0"/>
    <outlinePr summaryBelow="1" summaryRight="1"/>
    <pageSetUpPr/>
  </sheetPr>
  <dimension ref="A1:A1"/>
  <sheetViews>
    <sheetView workbookViewId="0">
      <selection activeCell="M50" sqref="M50"/>
    </sheetView>
  </sheetViews>
  <sheetFormatPr baseColWidth="8" defaultColWidth="8.6640625" defaultRowHeight="11.2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Jerry Ho</dc:creator>
  <dcterms:created xsi:type="dcterms:W3CDTF">2022-11-24T14:26:40Z</dcterms:created>
  <dcterms:modified xsi:type="dcterms:W3CDTF">2026-07-10T09:22:20Z</dcterms:modified>
  <cp:lastModifiedBy>Jerry Ho</cp:lastModifiedBy>
</cp:coreProperties>
</file>